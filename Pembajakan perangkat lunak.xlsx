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(05) UNI SEMESTER 5\ETIKA TI\"/>
    </mc:Choice>
  </mc:AlternateContent>
  <xr:revisionPtr revIDLastSave="0" documentId="8_{F3C588C6-166E-4A32-8526-E83447EA552F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hukuman wise" sheetId="12" r:id="rId1"/>
    <sheet name="tau hukum" sheetId="11" r:id="rId2"/>
    <sheet name="sikap banyak independen" sheetId="10" r:id="rId3"/>
    <sheet name="Raw data numerical" sheetId="3" r:id="rId4"/>
    <sheet name="Pengetahuan" sheetId="9" r:id="rId5"/>
    <sheet name="kepemilikan" sheetId="8" r:id="rId6"/>
    <sheet name="Akses pembayaran" sheetId="7" r:id="rId7"/>
    <sheet name="Penghasilan" sheetId="6" r:id="rId8"/>
    <sheet name="Gender vs dependen" sheetId="4" r:id="rId9"/>
    <sheet name="Umur" sheetId="5" r:id="rId10"/>
    <sheet name="Pembajakan perangkat lunak" sheetId="1" r:id="rId11"/>
  </sheets>
  <definedNames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kepemilikan!$A$1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9"/>
  <fileRecoveryPr repairLoad="1"/>
</workbook>
</file>

<file path=xl/calcChain.xml><?xml version="1.0" encoding="utf-8"?>
<calcChain xmlns="http://schemas.openxmlformats.org/spreadsheetml/2006/main">
  <c r="D6" i="8" l="1"/>
  <c r="E3" i="10"/>
  <c r="E4" i="10"/>
  <c r="E5" i="10"/>
  <c r="E6" i="10"/>
  <c r="E7" i="10"/>
  <c r="E8" i="10"/>
  <c r="E9" i="10"/>
  <c r="E43" i="10"/>
  <c r="E44" i="10"/>
  <c r="E45" i="10"/>
  <c r="E10" i="10"/>
  <c r="E46" i="10"/>
  <c r="E11" i="10"/>
  <c r="E12" i="10"/>
  <c r="E47" i="10"/>
  <c r="E13" i="10"/>
  <c r="E14" i="10"/>
  <c r="E15" i="10"/>
  <c r="E48" i="10"/>
  <c r="E16" i="10"/>
  <c r="E49" i="10"/>
  <c r="E17" i="10"/>
  <c r="E18" i="10"/>
  <c r="E19" i="10"/>
  <c r="E20" i="10"/>
  <c r="E21" i="10"/>
  <c r="E22" i="10"/>
  <c r="E23" i="10"/>
  <c r="E50" i="10"/>
  <c r="E24" i="10"/>
  <c r="E51" i="10"/>
  <c r="E52" i="10"/>
  <c r="E25" i="10"/>
  <c r="E53" i="10"/>
  <c r="E54" i="10"/>
  <c r="E26" i="10"/>
  <c r="E55" i="10"/>
  <c r="E27" i="10"/>
  <c r="E28" i="10"/>
  <c r="E29" i="10"/>
  <c r="E56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2" i="10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2" i="12"/>
  <c r="AD19" i="3"/>
  <c r="AC18" i="3"/>
  <c r="AB17" i="3"/>
  <c r="AA16" i="3"/>
  <c r="Z15" i="3"/>
  <c r="Y14" i="3"/>
  <c r="X13" i="3"/>
  <c r="V11" i="3"/>
  <c r="U10" i="3"/>
  <c r="T9" i="3"/>
  <c r="S8" i="3"/>
  <c r="R7" i="3"/>
  <c r="Q6" i="3"/>
  <c r="J12" i="10" l="1"/>
</calcChain>
</file>

<file path=xl/sharedStrings.xml><?xml version="1.0" encoding="utf-8"?>
<sst xmlns="http://schemas.openxmlformats.org/spreadsheetml/2006/main" count="849" uniqueCount="180">
  <si>
    <t>Timestamp</t>
  </si>
  <si>
    <t>2023/09/25 10:06:24 PM GMT+7</t>
  </si>
  <si>
    <t>2023/09/25 10:06:34 PM GMT+7</t>
  </si>
  <si>
    <t>2023/09/25 10:07:33 PM GMT+7</t>
  </si>
  <si>
    <t>2023/09/25 10:08:06 PM GMT+7</t>
  </si>
  <si>
    <t>2023/09/25 10:12:20 PM GMT+7</t>
  </si>
  <si>
    <t>2023/09/25 10:13:50 PM GMT+7</t>
  </si>
  <si>
    <t>2023/09/25 10:15:06 PM GMT+7</t>
  </si>
  <si>
    <t>2023/09/25 10:18:36 PM GMT+7</t>
  </si>
  <si>
    <t>2023/09/25 10:20:47 PM GMT+7</t>
  </si>
  <si>
    <t>2023/09/25 10:21:41 PM GMT+7</t>
  </si>
  <si>
    <t>2023/09/25 10:22:20 PM GMT+7</t>
  </si>
  <si>
    <t>2023/09/25 10:24:57 PM GMT+7</t>
  </si>
  <si>
    <t>2023/09/25 10:25:56 PM GMT+7</t>
  </si>
  <si>
    <t>2023/09/25 10:37:09 PM GMT+7</t>
  </si>
  <si>
    <t>2023/09/25 10:37:15 PM GMT+7</t>
  </si>
  <si>
    <t>2023/09/25 10:37:29 PM GMT+7</t>
  </si>
  <si>
    <t>2023/09/25 10:41:18 PM GMT+7</t>
  </si>
  <si>
    <t>2023/09/25 10:51:21 PM GMT+7</t>
  </si>
  <si>
    <t>2023/09/25 11:15:23 PM GMT+7</t>
  </si>
  <si>
    <t>2023/09/25 11:49:05 PM GMT+7</t>
  </si>
  <si>
    <t>2023/09/26 12:17:28 AM GMT+7</t>
  </si>
  <si>
    <t>2023/09/26 3:33:43 AM GMT+7</t>
  </si>
  <si>
    <t>2023/09/26 4:19:02 AM GMT+7</t>
  </si>
  <si>
    <t>2023/09/26 5:05:53 AM GMT+7</t>
  </si>
  <si>
    <t>2023/09/26 5:21:58 AM GMT+7</t>
  </si>
  <si>
    <t>2023/09/26 6:50:21 AM GMT+7</t>
  </si>
  <si>
    <t>2023/09/26 6:53:23 AM GMT+7</t>
  </si>
  <si>
    <t>2023/09/26 6:53:36 AM GMT+7</t>
  </si>
  <si>
    <t>2023/09/26 7:07:49 AM GMT+7</t>
  </si>
  <si>
    <t>2023/09/26 7:08:37 AM GMT+7</t>
  </si>
  <si>
    <t>2023/09/26 7:08:38 AM GMT+7</t>
  </si>
  <si>
    <t>2023/09/26 7:08:51 AM GMT+7</t>
  </si>
  <si>
    <t>2023/09/26 7:09:42 AM GMT+7</t>
  </si>
  <si>
    <t>2023/09/26 7:10:25 AM GMT+7</t>
  </si>
  <si>
    <t>2023/09/26 7:10:56 AM GMT+7</t>
  </si>
  <si>
    <t>2023/09/26 7:15:06 AM GMT+7</t>
  </si>
  <si>
    <t>2023/09/26 7:29:26 AM GMT+7</t>
  </si>
  <si>
    <t>2023/09/26 8:07:47 AM GMT+7</t>
  </si>
  <si>
    <t>2023/09/26 9:12:07 AM GMT+7</t>
  </si>
  <si>
    <t>2023/09/26 10:12:42 AM GMT+7</t>
  </si>
  <si>
    <t>2023/09/26 10:34:34 AM GMT+7</t>
  </si>
  <si>
    <t>2023/09/26 10:43:30 AM GMT+7</t>
  </si>
  <si>
    <t>2023/09/26 10:44:26 AM GMT+7</t>
  </si>
  <si>
    <t>2023/09/26 10:51:17 AM GMT+7</t>
  </si>
  <si>
    <t>2023/09/26 11:04:37 AM GMT+7</t>
  </si>
  <si>
    <t>2023/09/26 1:21:48 PM GMT+7</t>
  </si>
  <si>
    <t>2023/09/26 3:28:04 PM GMT+7</t>
  </si>
  <si>
    <t>2023/09/26 3:28:17 PM GMT+7</t>
  </si>
  <si>
    <t>2023/09/26 4:30:52 PM GMT+7</t>
  </si>
  <si>
    <t>2023/09/27 8:42:46 AM GMT+7</t>
  </si>
  <si>
    <t>2023/09/27 8:54:18 AM GMT+7</t>
  </si>
  <si>
    <t>2023/09/27 8:55:06 AM GMT+7</t>
  </si>
  <si>
    <t>2023/09/27 8:56:24 AM GMT+7</t>
  </si>
  <si>
    <t>2023/09/27 8:57:40 AM GMT+7</t>
  </si>
  <si>
    <t>2023/09/27 8:58:28 AM GMT+7</t>
  </si>
  <si>
    <t>Nama</t>
  </si>
  <si>
    <t>Umur</t>
  </si>
  <si>
    <t>Gender</t>
  </si>
  <si>
    <t>Penghasilan/ Uang saku perbulan</t>
  </si>
  <si>
    <t>Saya memiliki akses pembayaran international untuk pembelian lisensi software (paypall, credit card)</t>
  </si>
  <si>
    <t>Saya pernah/sedang menggunakan software bajakan</t>
  </si>
  <si>
    <t>Saya memiliki komputer/laptop pribadi</t>
  </si>
  <si>
    <t>Saya sudah menggunakan komputer/laptop pribadi sejak</t>
  </si>
  <si>
    <t>Pembajakan adalah tindakan yang wajar karena membantu masyarakat yang tidak mampu mendapatkan Software</t>
  </si>
  <si>
    <t>Pembajakan software tidak boleh dilakukan, sekalipun biayanya mahal dan saya tidak mampu membeli lisensinya</t>
  </si>
  <si>
    <t>Menurut saya pembajakan software dapat merugikan perusahaan</t>
  </si>
  <si>
    <t>Saya merasa malu dan bersalah ketika menggunakan software bajakan</t>
  </si>
  <si>
    <t>Saya tahu dan paham tentang hukum hak cipta</t>
  </si>
  <si>
    <t>Saya takut akan dijerat hukum jika menggunakan software bajakan</t>
  </si>
  <si>
    <t>Saya akan berhenti menggunakan software bajakan jika Hukum melarangnya</t>
  </si>
  <si>
    <t>Mahen</t>
  </si>
  <si>
    <t>Laki-Laki</t>
  </si>
  <si>
    <t>Rp. 0 sampai Rp. 2.500.000,00</t>
  </si>
  <si>
    <t>Tidak</t>
  </si>
  <si>
    <t>Ya</t>
  </si>
  <si>
    <t>&gt;5 tahun</t>
  </si>
  <si>
    <t>Vanya</t>
  </si>
  <si>
    <t>Perempuan</t>
  </si>
  <si>
    <t>1-5 tahun</t>
  </si>
  <si>
    <t>Imtiyaz Shafhal Afif</t>
  </si>
  <si>
    <t>Rp. 2.500.001,00 sampai Rp. 5.000.000,00</t>
  </si>
  <si>
    <t xml:space="preserve">Favian Astama </t>
  </si>
  <si>
    <t>Zaki Rizal R</t>
  </si>
  <si>
    <t xml:space="preserve">Tsanita Shafa Hadinanda </t>
  </si>
  <si>
    <t>Ahmadhian Daffa Yudistira</t>
  </si>
  <si>
    <t>Bernadetta Graciela</t>
  </si>
  <si>
    <t>Rafindra Nabiel Fawwaz</t>
  </si>
  <si>
    <t>Devika Rahman</t>
  </si>
  <si>
    <t>Ananda Donelly Reksana</t>
  </si>
  <si>
    <t xml:space="preserve">Fadhila Kamila </t>
  </si>
  <si>
    <t>Lita Sari Banjarnahor</t>
  </si>
  <si>
    <t>Fernandio Farrel Putra Susilo</t>
  </si>
  <si>
    <t>Ayesha Hana Azkiya</t>
  </si>
  <si>
    <t>Muhammad Rafi Widya Danendra</t>
  </si>
  <si>
    <t>Umar Al Haddad</t>
  </si>
  <si>
    <t>Gery</t>
  </si>
  <si>
    <t>Felix Prajna Santoso</t>
  </si>
  <si>
    <t>&lt;1 tahun</t>
  </si>
  <si>
    <t>Arya Wiraguna Dwiputra</t>
  </si>
  <si>
    <t>Astrid  Meilendra</t>
  </si>
  <si>
    <t xml:space="preserve">Davina </t>
  </si>
  <si>
    <t>Alexander Allan</t>
  </si>
  <si>
    <t>Zulfan</t>
  </si>
  <si>
    <t xml:space="preserve">I Putu Febryan Khrisyantara </t>
  </si>
  <si>
    <t>-</t>
  </si>
  <si>
    <t>Muhamad Arif Satriyo</t>
  </si>
  <si>
    <t>Javier</t>
  </si>
  <si>
    <t xml:space="preserve">Akhtar Zia Faizarrobbi </t>
  </si>
  <si>
    <t>Arsya Nueva Delavera</t>
  </si>
  <si>
    <t>Diva Nesia Putri</t>
  </si>
  <si>
    <t>Dzaky Ahmad</t>
  </si>
  <si>
    <t>Danovanz</t>
  </si>
  <si>
    <t>Tiara Aulia Azadirachta Indica</t>
  </si>
  <si>
    <t xml:space="preserve">Satria Pinandita </t>
  </si>
  <si>
    <t>Rayhan Fahmi</t>
  </si>
  <si>
    <t>Arjuna Putra</t>
  </si>
  <si>
    <t>Muhammad Fikri Khalilullah</t>
  </si>
  <si>
    <t>Nafi Ahmad Rohman</t>
  </si>
  <si>
    <t>Dinanti Vita Rachman</t>
  </si>
  <si>
    <t>Alya Callysta Nugraha</t>
  </si>
  <si>
    <t>Zahrina Candrakanti</t>
  </si>
  <si>
    <t>ARS</t>
  </si>
  <si>
    <t>Dafa Fawwaz Alfarisi</t>
  </si>
  <si>
    <t xml:space="preserve">Burju Ferdinand Harianja </t>
  </si>
  <si>
    <t>Clay Amsal Sebastian Hutabarat</t>
  </si>
  <si>
    <t>Anas Ghifari</t>
  </si>
  <si>
    <t>Siti</t>
  </si>
  <si>
    <t>Cindy</t>
  </si>
  <si>
    <t>Rp. 5.000.001,00 sampai Rp. 7.500.000,00</t>
  </si>
  <si>
    <t>Adinda Rizki</t>
  </si>
  <si>
    <t xml:space="preserve">Destania </t>
  </si>
  <si>
    <t>Theresia</t>
  </si>
  <si>
    <t>Laki Laki = 1</t>
  </si>
  <si>
    <t>perempuan = 2</t>
  </si>
  <si>
    <t>Sa1 memiliki akses pemba1ran international untuk pembelian lisensi software (paypall, credit card)</t>
  </si>
  <si>
    <t>Sa1 pernah/sedang menggunakan software bajakan</t>
  </si>
  <si>
    <t>Sa1 memiliki komputer/laptop pribadi</t>
  </si>
  <si>
    <t>Sa1 sudah menggunakan komputer/laptop pribadi sejak</t>
  </si>
  <si>
    <t>Menurut sa1 pembajakan software dapat merugikan perusahaan</t>
  </si>
  <si>
    <t>Sa1 merasa malu dan bersalah ketika menggunakan software bajakan</t>
  </si>
  <si>
    <t>Sa1 tahu dan paham tentang hukum hak cipta</t>
  </si>
  <si>
    <t>Sa1 takut akan dijerat hukum jika menggunakan software bajakan</t>
  </si>
  <si>
    <t>Sa1 akan berhenti menggunakan software bajakan jika Hukum melarangn1</t>
  </si>
  <si>
    <t>Pembajakan adalah tindakan 1ng wajar karena membantu mas1rakat 1ng 2 mampu mendapatkan Software</t>
  </si>
  <si>
    <t>Pembajakan software 2 boleh dilakukan, sekalipun bia1n1 mahal dan sa1 2 mampu membeli lisensin1</t>
  </si>
  <si>
    <t>Ya = 1</t>
  </si>
  <si>
    <t>Tidak = 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</si>
  <si>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</si>
  <si>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</si>
  <si>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</si>
  <si>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</si>
  <si>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</si>
  <si>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</si>
  <si>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</si>
  <si>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</si>
  <si>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</si>
  <si>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</si>
  <si>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</si>
  <si>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</si>
  <si>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</si>
  <si>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</si>
  <si>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</si>
  <si>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</si>
  <si>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</si>
  <si>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</si>
  <si>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</si>
  <si>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</si>
  <si>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</si>
  <si>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</si>
  <si>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</si>
  <si>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</si>
  <si>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5 dari 32</t>
  </si>
  <si>
    <t>9 dari 23</t>
  </si>
  <si>
    <t>yang gak</t>
  </si>
  <si>
    <t>x</t>
  </si>
  <si>
    <t>Dependent</t>
  </si>
  <si>
    <t>summary</t>
  </si>
  <si>
    <t>Z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</si>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</sst>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34" borderId="10" xfId="0" applyFill="1" applyBorder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F56" totalsRowShown="0">
  <autoFilter ref="A1:F56" xr:uid="{00000000-0009-0000-0100-000004000000}"/>
  <sortState xmlns:xlrd2="http://schemas.microsoft.com/office/spreadsheetml/2017/richdata2" ref="A2:F56">
    <sortCondition ref="F1:F56"/>
  </sortState>
  <tableColumns count="6">
    <tableColumn id="1" xr3:uid="{00000000-0010-0000-0000-000001000000}" name="Pembajakan adalah tindakan 1ng wajar karena membantu mas1rakat 1ng 2 mampu mendapatkan Software"/>
    <tableColumn id="2" xr3:uid="{00000000-0010-0000-0000-000002000000}" name="Pembajakan software 2 boleh dilakukan, sekalipun bia1n1 mahal dan sa1 2 mampu membeli lisensin1"/>
    <tableColumn id="3" xr3:uid="{00000000-0010-0000-0000-000003000000}" name="Menurut sa1 pembajakan software dapat merugikan perusahaan"/>
    <tableColumn id="4" xr3:uid="{00000000-0010-0000-0000-000004000000}" name="Sa1 merasa malu dan bersalah ketika menggunakan software bajakan"/>
    <tableColumn id="5" xr3:uid="{00000000-0010-0000-0000-000005000000}" name="Column1">
      <calculatedColumnFormula>SUM(A2:D2)</calculatedColumnFormula>
    </tableColumn>
    <tableColumn id="6" xr3:uid="{00000000-0010-0000-0000-000006000000}" name="Sa1 pernah/sedang menggunakan software bajaka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56" totalsRowShown="0">
  <autoFilter ref="A1:B56" xr:uid="{00000000-0009-0000-0100-000002000000}"/>
  <sortState xmlns:xlrd2="http://schemas.microsoft.com/office/spreadsheetml/2017/richdata2" ref="A2:B56">
    <sortCondition ref="A1:A56"/>
  </sortState>
  <tableColumns count="2">
    <tableColumn id="1" xr3:uid="{00000000-0010-0000-0100-000001000000}" name="Gender"/>
    <tableColumn id="2" xr3:uid="{00000000-0010-0000-0100-000002000000}" name="Saya pernah/sedang menggunakan software bajaka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workbookViewId="0">
      <selection activeCell="G25" sqref="G25"/>
    </sheetView>
  </sheetViews>
  <sheetFormatPr defaultRowHeight="14.4" x14ac:dyDescent="0.3"/>
  <cols>
    <col min="6" max="6" width="9.77734375" customWidth="1"/>
  </cols>
  <sheetData>
    <row r="1" spans="1:11" x14ac:dyDescent="0.3">
      <c r="A1" t="s">
        <v>144</v>
      </c>
      <c r="B1" t="s">
        <v>142</v>
      </c>
      <c r="C1" t="s">
        <v>143</v>
      </c>
      <c r="D1" t="s">
        <v>177</v>
      </c>
      <c r="E1" t="s">
        <v>136</v>
      </c>
    </row>
    <row r="2" spans="1:11" x14ac:dyDescent="0.3">
      <c r="A2">
        <v>5</v>
      </c>
      <c r="B2">
        <v>1</v>
      </c>
      <c r="C2">
        <v>1</v>
      </c>
      <c r="D2">
        <f>SUM(B2:C2)</f>
        <v>2</v>
      </c>
      <c r="E2">
        <v>1</v>
      </c>
    </row>
    <row r="3" spans="1:11" x14ac:dyDescent="0.3">
      <c r="A3">
        <v>2</v>
      </c>
      <c r="B3">
        <v>1</v>
      </c>
      <c r="C3">
        <v>1</v>
      </c>
      <c r="D3">
        <f t="shared" ref="D3:D56" si="0">SUM(B3:C3)</f>
        <v>2</v>
      </c>
      <c r="E3">
        <v>1</v>
      </c>
    </row>
    <row r="4" spans="1:11" x14ac:dyDescent="0.3">
      <c r="A4">
        <v>1</v>
      </c>
      <c r="B4">
        <v>2</v>
      </c>
      <c r="C4">
        <v>1</v>
      </c>
      <c r="D4">
        <f t="shared" si="0"/>
        <v>3</v>
      </c>
      <c r="E4">
        <v>1</v>
      </c>
      <c r="F4" t="s">
        <v>148</v>
      </c>
    </row>
    <row r="5" spans="1:11" ht="15" thickBot="1" x14ac:dyDescent="0.35">
      <c r="A5">
        <v>4</v>
      </c>
      <c r="B5">
        <v>1</v>
      </c>
      <c r="C5">
        <v>1</v>
      </c>
      <c r="D5">
        <f t="shared" si="0"/>
        <v>2</v>
      </c>
      <c r="E5">
        <v>1</v>
      </c>
    </row>
    <row r="6" spans="1:11" x14ac:dyDescent="0.3">
      <c r="A6">
        <v>3</v>
      </c>
      <c r="B6">
        <v>1</v>
      </c>
      <c r="C6">
        <v>1</v>
      </c>
      <c r="D6">
        <f t="shared" si="0"/>
        <v>2</v>
      </c>
      <c r="E6">
        <v>1</v>
      </c>
      <c r="F6" s="4" t="s">
        <v>149</v>
      </c>
      <c r="G6" s="4"/>
    </row>
    <row r="7" spans="1:11" x14ac:dyDescent="0.3">
      <c r="A7">
        <v>2</v>
      </c>
      <c r="B7">
        <v>1</v>
      </c>
      <c r="C7">
        <v>1</v>
      </c>
      <c r="D7">
        <f t="shared" si="0"/>
        <v>2</v>
      </c>
      <c r="E7">
        <v>1</v>
      </c>
      <c r="F7" t="s">
        <v>150</v>
      </c>
      <c r="G7">
        <v>8.0197717584600967E-2</v>
      </c>
    </row>
    <row r="8" spans="1:11" x14ac:dyDescent="0.3">
      <c r="A8">
        <v>4</v>
      </c>
      <c r="B8">
        <v>2</v>
      </c>
      <c r="C8">
        <v>2</v>
      </c>
      <c r="D8">
        <f t="shared" si="0"/>
        <v>4</v>
      </c>
      <c r="E8">
        <v>1</v>
      </c>
      <c r="F8" t="s">
        <v>151</v>
      </c>
      <c r="G8">
        <v>6.4316739057794156E-3</v>
      </c>
    </row>
    <row r="9" spans="1:11" x14ac:dyDescent="0.3">
      <c r="A9">
        <v>2</v>
      </c>
      <c r="B9">
        <v>1</v>
      </c>
      <c r="C9">
        <v>2</v>
      </c>
      <c r="D9">
        <f t="shared" si="0"/>
        <v>3</v>
      </c>
      <c r="E9">
        <v>1</v>
      </c>
      <c r="F9" t="s">
        <v>152</v>
      </c>
      <c r="G9">
        <v>-1.2314898284677576E-2</v>
      </c>
    </row>
    <row r="10" spans="1:11" x14ac:dyDescent="0.3">
      <c r="A10">
        <v>2</v>
      </c>
      <c r="B10">
        <v>1</v>
      </c>
      <c r="C10">
        <v>2</v>
      </c>
      <c r="D10">
        <f t="shared" si="0"/>
        <v>3</v>
      </c>
      <c r="E10">
        <v>2</v>
      </c>
      <c r="F10" t="s">
        <v>153</v>
      </c>
      <c r="G10">
        <v>0.73986479032411323</v>
      </c>
    </row>
    <row r="11" spans="1:11" ht="15" thickBot="1" x14ac:dyDescent="0.35">
      <c r="A11">
        <v>3</v>
      </c>
      <c r="B11">
        <v>1</v>
      </c>
      <c r="C11">
        <v>2</v>
      </c>
      <c r="D11">
        <f t="shared" si="0"/>
        <v>3</v>
      </c>
      <c r="E11">
        <v>2</v>
      </c>
      <c r="F11" s="2" t="s">
        <v>154</v>
      </c>
      <c r="G11" s="2">
        <v>55</v>
      </c>
    </row>
    <row r="12" spans="1:11" x14ac:dyDescent="0.3">
      <c r="A12">
        <v>1</v>
      </c>
      <c r="B12">
        <v>1</v>
      </c>
      <c r="C12">
        <v>1</v>
      </c>
      <c r="D12">
        <f t="shared" si="0"/>
        <v>2</v>
      </c>
      <c r="E12">
        <v>2</v>
      </c>
    </row>
    <row r="13" spans="1:11" ht="15" thickBot="1" x14ac:dyDescent="0.35">
      <c r="A13">
        <v>2</v>
      </c>
      <c r="B13">
        <v>1</v>
      </c>
      <c r="C13">
        <v>1</v>
      </c>
      <c r="D13">
        <f t="shared" si="0"/>
        <v>2</v>
      </c>
      <c r="E13">
        <v>1</v>
      </c>
      <c r="F13" t="s">
        <v>155</v>
      </c>
    </row>
    <row r="14" spans="1:11" x14ac:dyDescent="0.3">
      <c r="A14">
        <v>3</v>
      </c>
      <c r="B14">
        <v>2</v>
      </c>
      <c r="C14">
        <v>1</v>
      </c>
      <c r="D14">
        <f t="shared" si="0"/>
        <v>3</v>
      </c>
      <c r="E14">
        <v>2</v>
      </c>
      <c r="F14" s="3"/>
      <c r="G14" s="3" t="s">
        <v>160</v>
      </c>
      <c r="H14" s="3" t="s">
        <v>161</v>
      </c>
      <c r="I14" s="3" t="s">
        <v>162</v>
      </c>
      <c r="J14" s="3" t="s">
        <v>163</v>
      </c>
      <c r="K14" s="3" t="s">
        <v>164</v>
      </c>
    </row>
    <row r="15" spans="1:11" x14ac:dyDescent="0.3">
      <c r="A15">
        <v>2</v>
      </c>
      <c r="B15">
        <v>1</v>
      </c>
      <c r="C15">
        <v>1</v>
      </c>
      <c r="D15">
        <f t="shared" si="0"/>
        <v>2</v>
      </c>
      <c r="E15">
        <v>1</v>
      </c>
      <c r="F15" t="s">
        <v>156</v>
      </c>
      <c r="G15">
        <v>1</v>
      </c>
      <c r="H15">
        <v>0.18780487804875889</v>
      </c>
      <c r="I15">
        <v>0.18780487804875889</v>
      </c>
      <c r="J15">
        <v>0.3430853299705362</v>
      </c>
      <c r="K15">
        <v>0.56053976122715898</v>
      </c>
    </row>
    <row r="16" spans="1:11" x14ac:dyDescent="0.3">
      <c r="A16">
        <v>3</v>
      </c>
      <c r="B16">
        <v>2</v>
      </c>
      <c r="C16">
        <v>1</v>
      </c>
      <c r="D16">
        <f t="shared" si="0"/>
        <v>3</v>
      </c>
      <c r="E16">
        <v>1</v>
      </c>
      <c r="F16" t="s">
        <v>157</v>
      </c>
      <c r="G16">
        <v>53</v>
      </c>
      <c r="H16">
        <v>29.012195121951233</v>
      </c>
      <c r="I16">
        <v>0.54739990796134408</v>
      </c>
    </row>
    <row r="17" spans="1:14" ht="15" thickBot="1" x14ac:dyDescent="0.35">
      <c r="A17">
        <v>2</v>
      </c>
      <c r="B17">
        <v>1</v>
      </c>
      <c r="C17">
        <v>1</v>
      </c>
      <c r="D17">
        <f t="shared" si="0"/>
        <v>2</v>
      </c>
      <c r="E17">
        <v>2</v>
      </c>
      <c r="F17" s="2" t="s">
        <v>158</v>
      </c>
      <c r="G17" s="2">
        <v>54</v>
      </c>
      <c r="H17" s="2">
        <v>29.199999999999992</v>
      </c>
      <c r="I17" s="2"/>
      <c r="J17" s="2"/>
      <c r="K17" s="2"/>
    </row>
    <row r="18" spans="1:14" ht="15" thickBot="1" x14ac:dyDescent="0.35">
      <c r="A18">
        <v>2</v>
      </c>
      <c r="B18">
        <v>2</v>
      </c>
      <c r="C18">
        <v>2</v>
      </c>
      <c r="D18">
        <f t="shared" si="0"/>
        <v>4</v>
      </c>
      <c r="E18">
        <v>1</v>
      </c>
    </row>
    <row r="19" spans="1:14" x14ac:dyDescent="0.3">
      <c r="A19">
        <v>3</v>
      </c>
      <c r="B19">
        <v>1</v>
      </c>
      <c r="C19">
        <v>1</v>
      </c>
      <c r="D19">
        <f t="shared" si="0"/>
        <v>2</v>
      </c>
      <c r="E19">
        <v>1</v>
      </c>
      <c r="F19" s="3"/>
      <c r="G19" s="3" t="s">
        <v>165</v>
      </c>
      <c r="H19" s="3" t="s">
        <v>153</v>
      </c>
      <c r="I19" s="3" t="s">
        <v>166</v>
      </c>
      <c r="J19" s="3" t="s">
        <v>167</v>
      </c>
      <c r="K19" s="3" t="s">
        <v>168</v>
      </c>
      <c r="L19" s="3" t="s">
        <v>169</v>
      </c>
      <c r="M19" s="3" t="s">
        <v>170</v>
      </c>
      <c r="N19" s="3" t="s">
        <v>171</v>
      </c>
    </row>
    <row r="20" spans="1:14" x14ac:dyDescent="0.3">
      <c r="A20">
        <v>3</v>
      </c>
      <c r="B20">
        <v>1</v>
      </c>
      <c r="C20">
        <v>1</v>
      </c>
      <c r="D20">
        <f t="shared" si="0"/>
        <v>2</v>
      </c>
      <c r="E20">
        <v>1</v>
      </c>
      <c r="F20" t="s">
        <v>159</v>
      </c>
      <c r="G20">
        <v>2.7682926829268295</v>
      </c>
      <c r="H20">
        <v>0.30414612030274157</v>
      </c>
      <c r="I20">
        <v>9.1018510450546621</v>
      </c>
      <c r="J20">
        <v>2.0323108533529891E-12</v>
      </c>
      <c r="K20">
        <v>2.1582528201381388</v>
      </c>
      <c r="L20">
        <v>3.3783325457155202</v>
      </c>
      <c r="M20">
        <v>2.1582528201381388</v>
      </c>
      <c r="N20">
        <v>3.3783325457155202</v>
      </c>
    </row>
    <row r="21" spans="1:14" ht="15" thickBot="1" x14ac:dyDescent="0.35">
      <c r="A21">
        <v>2</v>
      </c>
      <c r="B21">
        <v>1</v>
      </c>
      <c r="C21">
        <v>1</v>
      </c>
      <c r="D21">
        <f t="shared" si="0"/>
        <v>2</v>
      </c>
      <c r="E21">
        <v>2</v>
      </c>
      <c r="F21" s="2" t="s">
        <v>176</v>
      </c>
      <c r="G21" s="2">
        <v>-0.13414634146341481</v>
      </c>
      <c r="H21" s="2">
        <v>0.22902229300476443</v>
      </c>
      <c r="I21" s="2">
        <v>-0.58573486320226531</v>
      </c>
      <c r="J21" s="6">
        <v>0.56053976122713589</v>
      </c>
      <c r="K21" s="2">
        <v>-0.59350688849623678</v>
      </c>
      <c r="L21" s="2">
        <v>0.32521420556940717</v>
      </c>
      <c r="M21" s="2">
        <v>-0.59350688849623678</v>
      </c>
      <c r="N21" s="2">
        <v>0.32521420556940717</v>
      </c>
    </row>
    <row r="22" spans="1:14" x14ac:dyDescent="0.3">
      <c r="A22">
        <v>4</v>
      </c>
      <c r="B22">
        <v>1</v>
      </c>
      <c r="C22">
        <v>2</v>
      </c>
      <c r="D22">
        <f t="shared" si="0"/>
        <v>3</v>
      </c>
      <c r="E22">
        <v>1</v>
      </c>
    </row>
    <row r="23" spans="1:14" x14ac:dyDescent="0.3">
      <c r="A23">
        <v>2</v>
      </c>
      <c r="B23">
        <v>1</v>
      </c>
      <c r="C23">
        <v>1</v>
      </c>
      <c r="D23">
        <f t="shared" si="0"/>
        <v>2</v>
      </c>
      <c r="E23">
        <v>2</v>
      </c>
    </row>
    <row r="24" spans="1:14" x14ac:dyDescent="0.3">
      <c r="A24">
        <v>3</v>
      </c>
      <c r="B24">
        <v>1</v>
      </c>
      <c r="C24">
        <v>1</v>
      </c>
      <c r="D24">
        <f t="shared" si="0"/>
        <v>2</v>
      </c>
      <c r="E24">
        <v>1</v>
      </c>
      <c r="I24" t="s">
        <v>178</v>
      </c>
    </row>
    <row r="25" spans="1:14" x14ac:dyDescent="0.3">
      <c r="A25">
        <v>4</v>
      </c>
      <c r="B25">
        <v>2</v>
      </c>
      <c r="C25">
        <v>2</v>
      </c>
      <c r="D25">
        <f t="shared" si="0"/>
        <v>4</v>
      </c>
      <c r="E25">
        <v>1</v>
      </c>
    </row>
    <row r="26" spans="1:14" x14ac:dyDescent="0.3">
      <c r="A26">
        <v>2</v>
      </c>
      <c r="B26">
        <v>2</v>
      </c>
      <c r="C26">
        <v>1</v>
      </c>
      <c r="D26">
        <f t="shared" si="0"/>
        <v>3</v>
      </c>
      <c r="E26">
        <v>1</v>
      </c>
    </row>
    <row r="27" spans="1:14" x14ac:dyDescent="0.3">
      <c r="A27">
        <v>3</v>
      </c>
      <c r="B27">
        <v>1</v>
      </c>
      <c r="C27">
        <v>1</v>
      </c>
      <c r="D27">
        <f t="shared" si="0"/>
        <v>2</v>
      </c>
      <c r="E27">
        <v>1</v>
      </c>
    </row>
    <row r="28" spans="1:14" x14ac:dyDescent="0.3">
      <c r="A28">
        <v>4</v>
      </c>
      <c r="B28">
        <v>2</v>
      </c>
      <c r="C28">
        <v>2</v>
      </c>
      <c r="D28">
        <f t="shared" si="0"/>
        <v>4</v>
      </c>
      <c r="E28">
        <v>1</v>
      </c>
    </row>
    <row r="29" spans="1:14" x14ac:dyDescent="0.3">
      <c r="A29">
        <v>2</v>
      </c>
      <c r="B29">
        <v>1</v>
      </c>
      <c r="C29">
        <v>2</v>
      </c>
      <c r="D29">
        <f t="shared" si="0"/>
        <v>3</v>
      </c>
      <c r="E29">
        <v>1</v>
      </c>
    </row>
    <row r="30" spans="1:14" x14ac:dyDescent="0.3">
      <c r="A30">
        <v>5</v>
      </c>
      <c r="B30">
        <v>1</v>
      </c>
      <c r="C30">
        <v>1</v>
      </c>
      <c r="D30">
        <f t="shared" si="0"/>
        <v>2</v>
      </c>
      <c r="E30">
        <v>1</v>
      </c>
    </row>
    <row r="31" spans="1:14" x14ac:dyDescent="0.3">
      <c r="A31">
        <v>3</v>
      </c>
      <c r="B31">
        <v>2</v>
      </c>
      <c r="C31">
        <v>2</v>
      </c>
      <c r="D31">
        <f t="shared" si="0"/>
        <v>4</v>
      </c>
      <c r="E31">
        <v>2</v>
      </c>
    </row>
    <row r="32" spans="1:14" x14ac:dyDescent="0.3">
      <c r="A32">
        <v>3</v>
      </c>
      <c r="B32">
        <v>2</v>
      </c>
      <c r="C32">
        <v>2</v>
      </c>
      <c r="D32">
        <f t="shared" si="0"/>
        <v>4</v>
      </c>
      <c r="E32">
        <v>1</v>
      </c>
    </row>
    <row r="33" spans="1:5" x14ac:dyDescent="0.3">
      <c r="A33">
        <v>1</v>
      </c>
      <c r="B33">
        <v>1</v>
      </c>
      <c r="C33">
        <v>1</v>
      </c>
      <c r="D33">
        <f t="shared" si="0"/>
        <v>2</v>
      </c>
      <c r="E33">
        <v>2</v>
      </c>
    </row>
    <row r="34" spans="1:5" x14ac:dyDescent="0.3">
      <c r="A34">
        <v>1</v>
      </c>
      <c r="B34">
        <v>1</v>
      </c>
      <c r="C34">
        <v>1</v>
      </c>
      <c r="D34">
        <f t="shared" si="0"/>
        <v>2</v>
      </c>
      <c r="E34">
        <v>2</v>
      </c>
    </row>
    <row r="35" spans="1:5" x14ac:dyDescent="0.3">
      <c r="A35">
        <v>2</v>
      </c>
      <c r="B35">
        <v>1</v>
      </c>
      <c r="C35">
        <v>2</v>
      </c>
      <c r="D35">
        <f t="shared" si="0"/>
        <v>3</v>
      </c>
      <c r="E35">
        <v>1</v>
      </c>
    </row>
    <row r="36" spans="1:5" x14ac:dyDescent="0.3">
      <c r="A36">
        <v>4</v>
      </c>
      <c r="B36">
        <v>1</v>
      </c>
      <c r="C36">
        <v>2</v>
      </c>
      <c r="D36">
        <f t="shared" si="0"/>
        <v>3</v>
      </c>
      <c r="E36">
        <v>2</v>
      </c>
    </row>
    <row r="37" spans="1:5" x14ac:dyDescent="0.3">
      <c r="A37">
        <v>4</v>
      </c>
      <c r="B37">
        <v>1</v>
      </c>
      <c r="C37">
        <v>1</v>
      </c>
      <c r="D37">
        <f t="shared" si="0"/>
        <v>2</v>
      </c>
      <c r="E37">
        <v>2</v>
      </c>
    </row>
    <row r="38" spans="1:5" x14ac:dyDescent="0.3">
      <c r="A38">
        <v>5</v>
      </c>
      <c r="B38">
        <v>2</v>
      </c>
      <c r="C38">
        <v>1</v>
      </c>
      <c r="D38">
        <f t="shared" si="0"/>
        <v>3</v>
      </c>
      <c r="E38">
        <v>1</v>
      </c>
    </row>
    <row r="39" spans="1:5" x14ac:dyDescent="0.3">
      <c r="A39">
        <v>1</v>
      </c>
      <c r="B39">
        <v>1</v>
      </c>
      <c r="C39">
        <v>2</v>
      </c>
      <c r="D39">
        <f t="shared" si="0"/>
        <v>3</v>
      </c>
      <c r="E39">
        <v>2</v>
      </c>
    </row>
    <row r="40" spans="1:5" x14ac:dyDescent="0.3">
      <c r="A40">
        <v>3</v>
      </c>
      <c r="B40">
        <v>2</v>
      </c>
      <c r="C40">
        <v>2</v>
      </c>
      <c r="D40">
        <f t="shared" si="0"/>
        <v>4</v>
      </c>
      <c r="E40">
        <v>1</v>
      </c>
    </row>
    <row r="41" spans="1:5" x14ac:dyDescent="0.3">
      <c r="A41">
        <v>5</v>
      </c>
      <c r="B41">
        <v>1</v>
      </c>
      <c r="C41">
        <v>2</v>
      </c>
      <c r="D41">
        <f t="shared" si="0"/>
        <v>3</v>
      </c>
      <c r="E41">
        <v>1</v>
      </c>
    </row>
    <row r="42" spans="1:5" x14ac:dyDescent="0.3">
      <c r="A42">
        <v>5</v>
      </c>
      <c r="B42">
        <v>2</v>
      </c>
      <c r="C42">
        <v>1</v>
      </c>
      <c r="D42">
        <f t="shared" si="0"/>
        <v>3</v>
      </c>
      <c r="E42">
        <v>1</v>
      </c>
    </row>
    <row r="43" spans="1:5" x14ac:dyDescent="0.3">
      <c r="A43">
        <v>3</v>
      </c>
      <c r="B43">
        <v>1</v>
      </c>
      <c r="C43">
        <v>1</v>
      </c>
      <c r="D43">
        <f t="shared" si="0"/>
        <v>2</v>
      </c>
      <c r="E43">
        <v>2</v>
      </c>
    </row>
    <row r="44" spans="1:5" x14ac:dyDescent="0.3">
      <c r="A44">
        <v>5</v>
      </c>
      <c r="B44">
        <v>2</v>
      </c>
      <c r="C44">
        <v>2</v>
      </c>
      <c r="D44">
        <f t="shared" si="0"/>
        <v>4</v>
      </c>
      <c r="E44">
        <v>1</v>
      </c>
    </row>
    <row r="45" spans="1:5" x14ac:dyDescent="0.3">
      <c r="A45">
        <v>5</v>
      </c>
      <c r="B45">
        <v>1</v>
      </c>
      <c r="C45">
        <v>1</v>
      </c>
      <c r="D45">
        <f t="shared" si="0"/>
        <v>2</v>
      </c>
      <c r="E45">
        <v>1</v>
      </c>
    </row>
    <row r="46" spans="1:5" x14ac:dyDescent="0.3">
      <c r="A46">
        <v>1</v>
      </c>
      <c r="B46">
        <v>1</v>
      </c>
      <c r="C46">
        <v>1</v>
      </c>
      <c r="D46">
        <f t="shared" si="0"/>
        <v>2</v>
      </c>
      <c r="E46">
        <v>1</v>
      </c>
    </row>
    <row r="47" spans="1:5" x14ac:dyDescent="0.3">
      <c r="A47">
        <v>5</v>
      </c>
      <c r="B47">
        <v>1</v>
      </c>
      <c r="C47">
        <v>2</v>
      </c>
      <c r="D47">
        <f t="shared" si="0"/>
        <v>3</v>
      </c>
      <c r="E47">
        <v>1</v>
      </c>
    </row>
    <row r="48" spans="1:5" x14ac:dyDescent="0.3">
      <c r="A48">
        <v>2</v>
      </c>
      <c r="B48">
        <v>1</v>
      </c>
      <c r="C48">
        <v>1</v>
      </c>
      <c r="D48">
        <f t="shared" si="0"/>
        <v>2</v>
      </c>
      <c r="E48">
        <v>1</v>
      </c>
    </row>
    <row r="49" spans="1:5" x14ac:dyDescent="0.3">
      <c r="A49">
        <v>2</v>
      </c>
      <c r="B49">
        <v>1</v>
      </c>
      <c r="C49">
        <v>1</v>
      </c>
      <c r="D49">
        <f t="shared" si="0"/>
        <v>2</v>
      </c>
      <c r="E49">
        <v>1</v>
      </c>
    </row>
    <row r="50" spans="1:5" x14ac:dyDescent="0.3">
      <c r="A50">
        <v>3</v>
      </c>
      <c r="B50">
        <v>1</v>
      </c>
      <c r="C50">
        <v>1</v>
      </c>
      <c r="D50">
        <f t="shared" si="0"/>
        <v>2</v>
      </c>
      <c r="E50">
        <v>1</v>
      </c>
    </row>
    <row r="51" spans="1:5" x14ac:dyDescent="0.3">
      <c r="A51">
        <v>2</v>
      </c>
      <c r="B51">
        <v>1</v>
      </c>
      <c r="C51">
        <v>1</v>
      </c>
      <c r="D51">
        <f t="shared" si="0"/>
        <v>2</v>
      </c>
      <c r="E51">
        <v>1</v>
      </c>
    </row>
    <row r="52" spans="1:5" x14ac:dyDescent="0.3">
      <c r="A52">
        <v>2</v>
      </c>
      <c r="B52">
        <v>1</v>
      </c>
      <c r="C52">
        <v>1</v>
      </c>
      <c r="D52">
        <f t="shared" si="0"/>
        <v>2</v>
      </c>
      <c r="E52">
        <v>1</v>
      </c>
    </row>
    <row r="53" spans="1:5" x14ac:dyDescent="0.3">
      <c r="A53">
        <v>1</v>
      </c>
      <c r="B53">
        <v>1</v>
      </c>
      <c r="C53">
        <v>1</v>
      </c>
      <c r="D53">
        <f t="shared" si="0"/>
        <v>2</v>
      </c>
      <c r="E53">
        <v>1</v>
      </c>
    </row>
    <row r="54" spans="1:5" x14ac:dyDescent="0.3">
      <c r="A54">
        <v>2</v>
      </c>
      <c r="B54">
        <v>1</v>
      </c>
      <c r="C54">
        <v>1</v>
      </c>
      <c r="D54">
        <f t="shared" si="0"/>
        <v>2</v>
      </c>
      <c r="E54">
        <v>1</v>
      </c>
    </row>
    <row r="55" spans="1:5" x14ac:dyDescent="0.3">
      <c r="A55">
        <v>1</v>
      </c>
      <c r="B55">
        <v>2</v>
      </c>
      <c r="C55">
        <v>1</v>
      </c>
      <c r="D55">
        <f t="shared" si="0"/>
        <v>3</v>
      </c>
      <c r="E55">
        <v>1</v>
      </c>
    </row>
    <row r="56" spans="1:5" x14ac:dyDescent="0.3">
      <c r="A56">
        <v>2</v>
      </c>
      <c r="B56">
        <v>1</v>
      </c>
      <c r="C56">
        <v>1</v>
      </c>
      <c r="D56">
        <f t="shared" si="0"/>
        <v>2</v>
      </c>
      <c r="E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workbookViewId="0">
      <selection activeCell="E23" sqref="E23"/>
    </sheetView>
  </sheetViews>
  <sheetFormatPr defaultRowHeight="14.4" x14ac:dyDescent="0.3"/>
  <cols>
    <col min="4" max="4" width="10" customWidth="1"/>
  </cols>
  <sheetData>
    <row r="1" spans="1:9" x14ac:dyDescent="0.3">
      <c r="A1" t="s">
        <v>68</v>
      </c>
      <c r="B1" t="s">
        <v>136</v>
      </c>
    </row>
    <row r="2" spans="1:9" x14ac:dyDescent="0.3">
      <c r="A2">
        <v>5</v>
      </c>
      <c r="B2">
        <v>1</v>
      </c>
    </row>
    <row r="3" spans="1:9" x14ac:dyDescent="0.3">
      <c r="A3">
        <v>4</v>
      </c>
      <c r="B3">
        <v>1</v>
      </c>
      <c r="D3" t="s">
        <v>148</v>
      </c>
    </row>
    <row r="4" spans="1:9" ht="15" thickBot="1" x14ac:dyDescent="0.35">
      <c r="A4">
        <v>2</v>
      </c>
      <c r="B4">
        <v>1</v>
      </c>
    </row>
    <row r="5" spans="1:9" x14ac:dyDescent="0.3">
      <c r="A5">
        <v>4</v>
      </c>
      <c r="B5">
        <v>1</v>
      </c>
      <c r="D5" s="4" t="s">
        <v>149</v>
      </c>
      <c r="E5" s="4"/>
    </row>
    <row r="6" spans="1:9" x14ac:dyDescent="0.3">
      <c r="A6">
        <v>3</v>
      </c>
      <c r="B6">
        <v>1</v>
      </c>
      <c r="D6" t="s">
        <v>150</v>
      </c>
      <c r="E6">
        <v>4.082830201563991E-2</v>
      </c>
    </row>
    <row r="7" spans="1:9" x14ac:dyDescent="0.3">
      <c r="A7">
        <v>5</v>
      </c>
      <c r="B7">
        <v>1</v>
      </c>
      <c r="D7" t="s">
        <v>151</v>
      </c>
      <c r="E7">
        <v>1.6669502454803062E-3</v>
      </c>
    </row>
    <row r="8" spans="1:9" x14ac:dyDescent="0.3">
      <c r="A8">
        <v>4</v>
      </c>
      <c r="B8">
        <v>1</v>
      </c>
      <c r="D8" t="s">
        <v>152</v>
      </c>
      <c r="E8">
        <v>-1.7169522391397424E-2</v>
      </c>
    </row>
    <row r="9" spans="1:9" x14ac:dyDescent="0.3">
      <c r="A9">
        <v>4</v>
      </c>
      <c r="B9">
        <v>1</v>
      </c>
      <c r="D9" t="s">
        <v>153</v>
      </c>
      <c r="E9">
        <v>0.98379480188444002</v>
      </c>
    </row>
    <row r="10" spans="1:9" ht="15" thickBot="1" x14ac:dyDescent="0.35">
      <c r="A10">
        <v>5</v>
      </c>
      <c r="B10">
        <v>2</v>
      </c>
      <c r="D10" s="2" t="s">
        <v>154</v>
      </c>
      <c r="E10" s="2">
        <v>55</v>
      </c>
    </row>
    <row r="11" spans="1:9" x14ac:dyDescent="0.3">
      <c r="A11">
        <v>5</v>
      </c>
      <c r="B11">
        <v>2</v>
      </c>
    </row>
    <row r="12" spans="1:9" ht="15" thickBot="1" x14ac:dyDescent="0.35">
      <c r="A12">
        <v>4</v>
      </c>
      <c r="B12">
        <v>2</v>
      </c>
      <c r="D12" t="s">
        <v>155</v>
      </c>
    </row>
    <row r="13" spans="1:9" x14ac:dyDescent="0.3">
      <c r="A13">
        <v>4</v>
      </c>
      <c r="B13">
        <v>1</v>
      </c>
      <c r="D13" s="3"/>
      <c r="E13" s="3" t="s">
        <v>160</v>
      </c>
      <c r="F13" s="3" t="s">
        <v>161</v>
      </c>
      <c r="G13" s="3" t="s">
        <v>162</v>
      </c>
      <c r="H13" s="3" t="s">
        <v>163</v>
      </c>
      <c r="I13" s="3" t="s">
        <v>164</v>
      </c>
    </row>
    <row r="14" spans="1:9" x14ac:dyDescent="0.3">
      <c r="A14">
        <v>3</v>
      </c>
      <c r="B14">
        <v>2</v>
      </c>
      <c r="D14" t="s">
        <v>156</v>
      </c>
      <c r="E14">
        <v>1</v>
      </c>
      <c r="F14">
        <v>8.5650934431406256E-2</v>
      </c>
      <c r="G14">
        <v>8.5650934431406256E-2</v>
      </c>
      <c r="H14">
        <v>8.8495881241415608E-2</v>
      </c>
      <c r="I14">
        <v>0.76726104660941008</v>
      </c>
    </row>
    <row r="15" spans="1:9" x14ac:dyDescent="0.3">
      <c r="A15">
        <v>3</v>
      </c>
      <c r="B15">
        <v>1</v>
      </c>
      <c r="D15" t="s">
        <v>157</v>
      </c>
      <c r="E15">
        <v>53</v>
      </c>
      <c r="F15">
        <v>51.296167247386762</v>
      </c>
      <c r="G15">
        <v>0.96785221221484452</v>
      </c>
    </row>
    <row r="16" spans="1:9" ht="15" thickBot="1" x14ac:dyDescent="0.35">
      <c r="A16">
        <v>3</v>
      </c>
      <c r="B16">
        <v>1</v>
      </c>
      <c r="D16" s="2" t="s">
        <v>158</v>
      </c>
      <c r="E16" s="2">
        <v>54</v>
      </c>
      <c r="F16" s="2">
        <v>51.381818181818169</v>
      </c>
      <c r="G16" s="2"/>
      <c r="H16" s="2"/>
      <c r="I16" s="2"/>
    </row>
    <row r="17" spans="1:12" ht="15" thickBot="1" x14ac:dyDescent="0.35">
      <c r="A17">
        <v>3</v>
      </c>
      <c r="B17">
        <v>2</v>
      </c>
    </row>
    <row r="18" spans="1:12" x14ac:dyDescent="0.3">
      <c r="A18">
        <v>4</v>
      </c>
      <c r="B18">
        <v>1</v>
      </c>
      <c r="D18" s="3"/>
      <c r="E18" s="3" t="s">
        <v>165</v>
      </c>
      <c r="F18" s="3" t="s">
        <v>153</v>
      </c>
      <c r="G18" s="3" t="s">
        <v>166</v>
      </c>
      <c r="H18" s="3" t="s">
        <v>167</v>
      </c>
      <c r="I18" s="3" t="s">
        <v>168</v>
      </c>
      <c r="J18" s="3" t="s">
        <v>169</v>
      </c>
      <c r="K18" s="3" t="s">
        <v>170</v>
      </c>
      <c r="L18" s="3" t="s">
        <v>171</v>
      </c>
    </row>
    <row r="19" spans="1:12" x14ac:dyDescent="0.3">
      <c r="A19">
        <v>3</v>
      </c>
      <c r="B19">
        <v>1</v>
      </c>
      <c r="D19" t="s">
        <v>159</v>
      </c>
      <c r="E19">
        <v>3.8954703832752613</v>
      </c>
      <c r="F19">
        <v>0.40442169445052017</v>
      </c>
      <c r="G19">
        <v>9.6321993521340659</v>
      </c>
      <c r="H19">
        <v>3.0679313199258861E-13</v>
      </c>
      <c r="I19">
        <v>3.0843031892114636</v>
      </c>
      <c r="J19">
        <v>4.706637577339059</v>
      </c>
      <c r="K19">
        <v>3.0843031892114636</v>
      </c>
      <c r="L19">
        <v>4.706637577339059</v>
      </c>
    </row>
    <row r="20" spans="1:12" ht="15" thickBot="1" x14ac:dyDescent="0.35">
      <c r="A20">
        <v>4</v>
      </c>
      <c r="B20">
        <v>1</v>
      </c>
      <c r="D20" s="2" t="s">
        <v>176</v>
      </c>
      <c r="E20" s="2">
        <v>-9.0592334494773608E-2</v>
      </c>
      <c r="F20" s="2">
        <v>0.30452988751504206</v>
      </c>
      <c r="G20" s="2">
        <v>-0.29748257300459174</v>
      </c>
      <c r="H20" s="6">
        <v>0.76726104660938899</v>
      </c>
      <c r="I20" s="2">
        <v>-0.70140193683267049</v>
      </c>
      <c r="J20" s="2">
        <v>0.52021726784312339</v>
      </c>
      <c r="K20" s="2">
        <v>-0.70140193683267049</v>
      </c>
      <c r="L20" s="2">
        <v>0.52021726784312339</v>
      </c>
    </row>
    <row r="21" spans="1:12" x14ac:dyDescent="0.3">
      <c r="A21">
        <v>5</v>
      </c>
      <c r="B21">
        <v>2</v>
      </c>
    </row>
    <row r="22" spans="1:12" x14ac:dyDescent="0.3">
      <c r="A22">
        <v>3</v>
      </c>
      <c r="B22">
        <v>1</v>
      </c>
    </row>
    <row r="23" spans="1:12" x14ac:dyDescent="0.3">
      <c r="A23">
        <v>3</v>
      </c>
      <c r="B23">
        <v>2</v>
      </c>
    </row>
    <row r="24" spans="1:12" x14ac:dyDescent="0.3">
      <c r="A24">
        <v>4</v>
      </c>
      <c r="B24">
        <v>1</v>
      </c>
    </row>
    <row r="25" spans="1:12" x14ac:dyDescent="0.3">
      <c r="A25">
        <v>3</v>
      </c>
      <c r="B25">
        <v>1</v>
      </c>
    </row>
    <row r="26" spans="1:12" x14ac:dyDescent="0.3">
      <c r="A26">
        <v>5</v>
      </c>
      <c r="B26">
        <v>1</v>
      </c>
    </row>
    <row r="27" spans="1:12" x14ac:dyDescent="0.3">
      <c r="A27">
        <v>5</v>
      </c>
      <c r="B27">
        <v>1</v>
      </c>
    </row>
    <row r="28" spans="1:12" x14ac:dyDescent="0.3">
      <c r="A28">
        <v>4</v>
      </c>
      <c r="B28">
        <v>1</v>
      </c>
    </row>
    <row r="29" spans="1:12" x14ac:dyDescent="0.3">
      <c r="A29">
        <v>3</v>
      </c>
      <c r="B29">
        <v>1</v>
      </c>
    </row>
    <row r="30" spans="1:12" x14ac:dyDescent="0.3">
      <c r="A30">
        <v>3</v>
      </c>
      <c r="B30">
        <v>1</v>
      </c>
    </row>
    <row r="31" spans="1:12" x14ac:dyDescent="0.3">
      <c r="A31">
        <v>4</v>
      </c>
      <c r="B31">
        <v>2</v>
      </c>
    </row>
    <row r="32" spans="1:12" x14ac:dyDescent="0.3">
      <c r="A32">
        <v>4</v>
      </c>
      <c r="B32">
        <v>1</v>
      </c>
    </row>
    <row r="33" spans="1:2" x14ac:dyDescent="0.3">
      <c r="A33">
        <v>4</v>
      </c>
      <c r="B33">
        <v>2</v>
      </c>
    </row>
    <row r="34" spans="1:2" x14ac:dyDescent="0.3">
      <c r="A34">
        <v>4</v>
      </c>
      <c r="B34">
        <v>2</v>
      </c>
    </row>
    <row r="35" spans="1:2" x14ac:dyDescent="0.3">
      <c r="A35">
        <v>2</v>
      </c>
      <c r="B35">
        <v>1</v>
      </c>
    </row>
    <row r="36" spans="1:2" x14ac:dyDescent="0.3">
      <c r="A36">
        <v>4</v>
      </c>
      <c r="B36">
        <v>2</v>
      </c>
    </row>
    <row r="37" spans="1:2" x14ac:dyDescent="0.3">
      <c r="A37">
        <v>2</v>
      </c>
      <c r="B37">
        <v>2</v>
      </c>
    </row>
    <row r="38" spans="1:2" x14ac:dyDescent="0.3">
      <c r="A38">
        <v>4</v>
      </c>
      <c r="B38">
        <v>1</v>
      </c>
    </row>
    <row r="39" spans="1:2" x14ac:dyDescent="0.3">
      <c r="A39">
        <v>2</v>
      </c>
      <c r="B39">
        <v>2</v>
      </c>
    </row>
    <row r="40" spans="1:2" x14ac:dyDescent="0.3">
      <c r="A40">
        <v>4</v>
      </c>
      <c r="B40">
        <v>1</v>
      </c>
    </row>
    <row r="41" spans="1:2" x14ac:dyDescent="0.3">
      <c r="A41">
        <v>5</v>
      </c>
      <c r="B41">
        <v>1</v>
      </c>
    </row>
    <row r="42" spans="1:2" x14ac:dyDescent="0.3">
      <c r="A42">
        <v>3</v>
      </c>
      <c r="B42">
        <v>1</v>
      </c>
    </row>
    <row r="43" spans="1:2" x14ac:dyDescent="0.3">
      <c r="A43">
        <v>4</v>
      </c>
      <c r="B43">
        <v>2</v>
      </c>
    </row>
    <row r="44" spans="1:2" x14ac:dyDescent="0.3">
      <c r="A44">
        <v>1</v>
      </c>
      <c r="B44">
        <v>1</v>
      </c>
    </row>
    <row r="45" spans="1:2" x14ac:dyDescent="0.3">
      <c r="A45">
        <v>5</v>
      </c>
      <c r="B45">
        <v>1</v>
      </c>
    </row>
    <row r="46" spans="1:2" x14ac:dyDescent="0.3">
      <c r="A46">
        <v>4</v>
      </c>
      <c r="B46">
        <v>1</v>
      </c>
    </row>
    <row r="47" spans="1:2" x14ac:dyDescent="0.3">
      <c r="A47">
        <v>5</v>
      </c>
      <c r="B47">
        <v>1</v>
      </c>
    </row>
    <row r="48" spans="1:2" x14ac:dyDescent="0.3">
      <c r="A48">
        <v>3</v>
      </c>
      <c r="B48">
        <v>1</v>
      </c>
    </row>
    <row r="49" spans="1:2" x14ac:dyDescent="0.3">
      <c r="A49">
        <v>3</v>
      </c>
      <c r="B49">
        <v>1</v>
      </c>
    </row>
    <row r="50" spans="1:2" x14ac:dyDescent="0.3">
      <c r="A50">
        <v>3</v>
      </c>
      <c r="B50">
        <v>1</v>
      </c>
    </row>
    <row r="51" spans="1:2" x14ac:dyDescent="0.3">
      <c r="A51">
        <v>4</v>
      </c>
      <c r="B51">
        <v>1</v>
      </c>
    </row>
    <row r="52" spans="1:2" x14ac:dyDescent="0.3">
      <c r="A52">
        <v>5</v>
      </c>
      <c r="B52">
        <v>1</v>
      </c>
    </row>
    <row r="53" spans="1:2" x14ac:dyDescent="0.3">
      <c r="A53">
        <v>5</v>
      </c>
      <c r="B53">
        <v>1</v>
      </c>
    </row>
    <row r="54" spans="1:2" x14ac:dyDescent="0.3">
      <c r="A54">
        <v>5</v>
      </c>
      <c r="B54">
        <v>1</v>
      </c>
    </row>
    <row r="55" spans="1:2" x14ac:dyDescent="0.3">
      <c r="A55">
        <v>5</v>
      </c>
      <c r="B55">
        <v>1</v>
      </c>
    </row>
    <row r="56" spans="1:2" x14ac:dyDescent="0.3">
      <c r="A56">
        <v>4</v>
      </c>
      <c r="B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"/>
  <sheetViews>
    <sheetView topLeftCell="D1" workbookViewId="0">
      <selection activeCell="F43" sqref="F43:F56"/>
    </sheetView>
  </sheetViews>
  <sheetFormatPr defaultRowHeight="14.4" x14ac:dyDescent="0.3"/>
  <cols>
    <col min="1" max="2" width="57.109375" customWidth="1"/>
    <col min="3" max="3" width="55.109375" customWidth="1"/>
    <col min="4" max="4" width="57.109375" customWidth="1"/>
    <col min="5" max="5" width="10.109375" customWidth="1"/>
    <col min="6" max="6" width="44.5546875" customWidth="1"/>
  </cols>
  <sheetData>
    <row r="1" spans="1:12" x14ac:dyDescent="0.3">
      <c r="A1" t="s">
        <v>144</v>
      </c>
      <c r="B1" t="s">
        <v>145</v>
      </c>
      <c r="C1" t="s">
        <v>139</v>
      </c>
      <c r="D1" t="s">
        <v>140</v>
      </c>
      <c r="E1" t="s">
        <v>179</v>
      </c>
      <c r="F1" t="s">
        <v>136</v>
      </c>
    </row>
    <row r="2" spans="1:12" x14ac:dyDescent="0.3">
      <c r="A2">
        <v>1</v>
      </c>
      <c r="B2">
        <v>5</v>
      </c>
      <c r="C2">
        <v>5</v>
      </c>
      <c r="D2">
        <v>5</v>
      </c>
      <c r="E2">
        <f t="shared" ref="E2:E33" si="0">SUM(A2:D2)</f>
        <v>16</v>
      </c>
      <c r="F2">
        <v>1</v>
      </c>
    </row>
    <row r="3" spans="1:12" x14ac:dyDescent="0.3">
      <c r="A3">
        <v>4</v>
      </c>
      <c r="B3">
        <v>2</v>
      </c>
      <c r="C3">
        <v>4</v>
      </c>
      <c r="D3">
        <v>4</v>
      </c>
      <c r="E3">
        <f t="shared" si="0"/>
        <v>14</v>
      </c>
      <c r="F3">
        <v>1</v>
      </c>
    </row>
    <row r="4" spans="1:12" x14ac:dyDescent="0.3">
      <c r="A4">
        <v>5</v>
      </c>
      <c r="B4">
        <v>3</v>
      </c>
      <c r="C4">
        <v>5</v>
      </c>
      <c r="D4">
        <v>3</v>
      </c>
      <c r="E4">
        <f t="shared" si="0"/>
        <v>16</v>
      </c>
      <c r="F4">
        <v>1</v>
      </c>
    </row>
    <row r="5" spans="1:12" x14ac:dyDescent="0.3">
      <c r="A5">
        <v>2</v>
      </c>
      <c r="B5">
        <v>4</v>
      </c>
      <c r="C5">
        <v>5</v>
      </c>
      <c r="D5">
        <v>3</v>
      </c>
      <c r="E5">
        <f t="shared" si="0"/>
        <v>14</v>
      </c>
      <c r="F5">
        <v>1</v>
      </c>
    </row>
    <row r="6" spans="1:12" ht="15" thickBot="1" x14ac:dyDescent="0.35">
      <c r="A6">
        <v>3</v>
      </c>
      <c r="B6">
        <v>2</v>
      </c>
      <c r="C6">
        <v>4</v>
      </c>
      <c r="D6">
        <v>4</v>
      </c>
      <c r="E6">
        <f t="shared" si="0"/>
        <v>13</v>
      </c>
      <c r="F6">
        <v>1</v>
      </c>
    </row>
    <row r="7" spans="1:12" x14ac:dyDescent="0.3">
      <c r="A7">
        <v>4</v>
      </c>
      <c r="B7">
        <v>4</v>
      </c>
      <c r="C7">
        <v>5</v>
      </c>
      <c r="D7">
        <v>4</v>
      </c>
      <c r="E7">
        <f t="shared" si="0"/>
        <v>17</v>
      </c>
      <c r="F7">
        <v>1</v>
      </c>
      <c r="J7" s="3"/>
      <c r="K7" s="3">
        <v>1</v>
      </c>
      <c r="L7" s="3">
        <v>5</v>
      </c>
    </row>
    <row r="8" spans="1:12" x14ac:dyDescent="0.3">
      <c r="A8">
        <v>2</v>
      </c>
      <c r="B8">
        <v>2</v>
      </c>
      <c r="C8">
        <v>2</v>
      </c>
      <c r="D8">
        <v>1</v>
      </c>
      <c r="E8">
        <f t="shared" si="0"/>
        <v>7</v>
      </c>
      <c r="F8">
        <v>1</v>
      </c>
      <c r="J8">
        <v>1</v>
      </c>
      <c r="K8">
        <v>1</v>
      </c>
    </row>
    <row r="9" spans="1:12" ht="15" thickBot="1" x14ac:dyDescent="0.35">
      <c r="A9">
        <v>4</v>
      </c>
      <c r="B9">
        <v>4</v>
      </c>
      <c r="C9">
        <v>5</v>
      </c>
      <c r="D9">
        <v>4</v>
      </c>
      <c r="E9">
        <f t="shared" si="0"/>
        <v>17</v>
      </c>
      <c r="F9">
        <v>1</v>
      </c>
      <c r="J9" s="2">
        <v>5</v>
      </c>
      <c r="K9" s="2">
        <v>0.50722541498954909</v>
      </c>
      <c r="L9" s="2">
        <v>1</v>
      </c>
    </row>
    <row r="10" spans="1:12" x14ac:dyDescent="0.3">
      <c r="A10">
        <v>4</v>
      </c>
      <c r="B10">
        <v>4</v>
      </c>
      <c r="C10">
        <v>5</v>
      </c>
      <c r="D10">
        <v>4</v>
      </c>
      <c r="E10">
        <f t="shared" si="0"/>
        <v>17</v>
      </c>
      <c r="F10">
        <v>1</v>
      </c>
    </row>
    <row r="11" spans="1:12" x14ac:dyDescent="0.3">
      <c r="A11">
        <v>4</v>
      </c>
      <c r="B11">
        <v>1</v>
      </c>
      <c r="C11">
        <v>5</v>
      </c>
      <c r="D11">
        <v>5</v>
      </c>
      <c r="E11">
        <f t="shared" si="0"/>
        <v>15</v>
      </c>
      <c r="F11">
        <v>1</v>
      </c>
    </row>
    <row r="12" spans="1:12" x14ac:dyDescent="0.3">
      <c r="A12">
        <v>3</v>
      </c>
      <c r="B12">
        <v>2</v>
      </c>
      <c r="C12">
        <v>4</v>
      </c>
      <c r="D12">
        <v>2</v>
      </c>
      <c r="E12">
        <f t="shared" si="0"/>
        <v>11</v>
      </c>
      <c r="F12">
        <v>1</v>
      </c>
      <c r="J12">
        <f>CORREL(E2:E56,F2:F56)</f>
        <v>0.25523264787373845</v>
      </c>
    </row>
    <row r="13" spans="1:12" x14ac:dyDescent="0.3">
      <c r="A13">
        <v>4</v>
      </c>
      <c r="B13">
        <v>4</v>
      </c>
      <c r="C13">
        <v>5</v>
      </c>
      <c r="D13">
        <v>2</v>
      </c>
      <c r="E13">
        <f t="shared" si="0"/>
        <v>15</v>
      </c>
      <c r="F13">
        <v>1</v>
      </c>
    </row>
    <row r="14" spans="1:12" x14ac:dyDescent="0.3">
      <c r="A14">
        <v>3</v>
      </c>
      <c r="B14">
        <v>3</v>
      </c>
      <c r="C14">
        <v>3</v>
      </c>
      <c r="D14">
        <v>3</v>
      </c>
      <c r="E14">
        <f t="shared" si="0"/>
        <v>12</v>
      </c>
      <c r="F14">
        <v>1</v>
      </c>
    </row>
    <row r="15" spans="1:12" x14ac:dyDescent="0.3">
      <c r="A15">
        <v>3</v>
      </c>
      <c r="B15">
        <v>5</v>
      </c>
      <c r="C15">
        <v>5</v>
      </c>
      <c r="D15">
        <v>4</v>
      </c>
      <c r="E15">
        <f t="shared" si="0"/>
        <v>17</v>
      </c>
      <c r="F15">
        <v>1</v>
      </c>
    </row>
    <row r="16" spans="1:12" x14ac:dyDescent="0.3">
      <c r="A16">
        <v>2</v>
      </c>
      <c r="B16">
        <v>3</v>
      </c>
      <c r="C16">
        <v>4</v>
      </c>
      <c r="D16">
        <v>3</v>
      </c>
      <c r="E16">
        <f t="shared" si="0"/>
        <v>12</v>
      </c>
      <c r="F16">
        <v>1</v>
      </c>
    </row>
    <row r="17" spans="1:6" x14ac:dyDescent="0.3">
      <c r="A17">
        <v>3</v>
      </c>
      <c r="B17">
        <v>5</v>
      </c>
      <c r="C17">
        <v>4</v>
      </c>
      <c r="D17">
        <v>5</v>
      </c>
      <c r="E17">
        <f t="shared" si="0"/>
        <v>17</v>
      </c>
      <c r="F17">
        <v>1</v>
      </c>
    </row>
    <row r="18" spans="1:6" x14ac:dyDescent="0.3">
      <c r="A18">
        <v>2</v>
      </c>
      <c r="B18">
        <v>3</v>
      </c>
      <c r="C18">
        <v>5</v>
      </c>
      <c r="D18">
        <v>1</v>
      </c>
      <c r="E18">
        <f t="shared" si="0"/>
        <v>11</v>
      </c>
      <c r="F18">
        <v>1</v>
      </c>
    </row>
    <row r="19" spans="1:6" x14ac:dyDescent="0.3">
      <c r="A19">
        <v>4</v>
      </c>
      <c r="B19">
        <v>4</v>
      </c>
      <c r="C19">
        <v>5</v>
      </c>
      <c r="D19">
        <v>5</v>
      </c>
      <c r="E19">
        <f t="shared" si="0"/>
        <v>18</v>
      </c>
      <c r="F19">
        <v>1</v>
      </c>
    </row>
    <row r="20" spans="1:6" x14ac:dyDescent="0.3">
      <c r="A20">
        <v>3</v>
      </c>
      <c r="B20">
        <v>4</v>
      </c>
      <c r="C20">
        <v>5</v>
      </c>
      <c r="D20">
        <v>5</v>
      </c>
      <c r="E20">
        <f t="shared" si="0"/>
        <v>17</v>
      </c>
      <c r="F20">
        <v>1</v>
      </c>
    </row>
    <row r="21" spans="1:6" ht="17.399999999999999" customHeight="1" x14ac:dyDescent="0.3">
      <c r="A21">
        <v>2</v>
      </c>
      <c r="B21">
        <v>2</v>
      </c>
      <c r="C21">
        <v>3</v>
      </c>
      <c r="D21">
        <v>1</v>
      </c>
      <c r="E21">
        <f t="shared" si="0"/>
        <v>8</v>
      </c>
      <c r="F21">
        <v>1</v>
      </c>
    </row>
    <row r="22" spans="1:6" x14ac:dyDescent="0.3">
      <c r="A22">
        <v>4</v>
      </c>
      <c r="B22">
        <v>5</v>
      </c>
      <c r="C22">
        <v>5</v>
      </c>
      <c r="D22">
        <v>4</v>
      </c>
      <c r="E22">
        <f t="shared" si="0"/>
        <v>18</v>
      </c>
      <c r="F22">
        <v>1</v>
      </c>
    </row>
    <row r="23" spans="1:6" x14ac:dyDescent="0.3">
      <c r="A23">
        <v>1</v>
      </c>
      <c r="B23">
        <v>2</v>
      </c>
      <c r="C23">
        <v>5</v>
      </c>
      <c r="D23">
        <v>2</v>
      </c>
      <c r="E23">
        <f t="shared" si="0"/>
        <v>10</v>
      </c>
      <c r="F23">
        <v>1</v>
      </c>
    </row>
    <row r="24" spans="1:6" x14ac:dyDescent="0.3">
      <c r="A24">
        <v>3</v>
      </c>
      <c r="B24">
        <v>5</v>
      </c>
      <c r="C24">
        <v>5</v>
      </c>
      <c r="D24">
        <v>2</v>
      </c>
      <c r="E24">
        <f t="shared" si="0"/>
        <v>15</v>
      </c>
      <c r="F24">
        <v>1</v>
      </c>
    </row>
    <row r="25" spans="1:6" x14ac:dyDescent="0.3">
      <c r="A25">
        <v>4</v>
      </c>
      <c r="B25">
        <v>2</v>
      </c>
      <c r="C25">
        <v>2</v>
      </c>
      <c r="D25">
        <v>2</v>
      </c>
      <c r="E25">
        <f t="shared" si="0"/>
        <v>10</v>
      </c>
      <c r="F25">
        <v>1</v>
      </c>
    </row>
    <row r="26" spans="1:6" x14ac:dyDescent="0.3">
      <c r="A26">
        <v>1</v>
      </c>
      <c r="B26">
        <v>1</v>
      </c>
      <c r="C26">
        <v>4</v>
      </c>
      <c r="D26">
        <v>1</v>
      </c>
      <c r="E26">
        <f t="shared" si="0"/>
        <v>7</v>
      </c>
      <c r="F26">
        <v>1</v>
      </c>
    </row>
    <row r="27" spans="1:6" x14ac:dyDescent="0.3">
      <c r="A27">
        <v>3</v>
      </c>
      <c r="B27">
        <v>2</v>
      </c>
      <c r="C27">
        <v>5</v>
      </c>
      <c r="D27">
        <v>2</v>
      </c>
      <c r="E27">
        <f t="shared" si="0"/>
        <v>12</v>
      </c>
      <c r="F27">
        <v>1</v>
      </c>
    </row>
    <row r="28" spans="1:6" x14ac:dyDescent="0.3">
      <c r="A28">
        <v>1</v>
      </c>
      <c r="B28">
        <v>3</v>
      </c>
      <c r="C28">
        <v>2</v>
      </c>
      <c r="D28">
        <v>2</v>
      </c>
      <c r="E28">
        <f t="shared" si="0"/>
        <v>8</v>
      </c>
      <c r="F28">
        <v>1</v>
      </c>
    </row>
    <row r="29" spans="1:6" x14ac:dyDescent="0.3">
      <c r="A29">
        <v>1</v>
      </c>
      <c r="B29">
        <v>1</v>
      </c>
      <c r="C29">
        <v>2</v>
      </c>
      <c r="D29">
        <v>1</v>
      </c>
      <c r="E29">
        <f t="shared" si="0"/>
        <v>5</v>
      </c>
      <c r="F29">
        <v>1</v>
      </c>
    </row>
    <row r="30" spans="1:6" x14ac:dyDescent="0.3">
      <c r="A30">
        <v>1</v>
      </c>
      <c r="B30">
        <v>2</v>
      </c>
      <c r="C30">
        <v>5</v>
      </c>
      <c r="D30">
        <v>1</v>
      </c>
      <c r="E30">
        <f t="shared" si="0"/>
        <v>9</v>
      </c>
      <c r="F30">
        <v>1</v>
      </c>
    </row>
    <row r="31" spans="1:6" x14ac:dyDescent="0.3">
      <c r="A31">
        <v>1</v>
      </c>
      <c r="B31">
        <v>5</v>
      </c>
      <c r="C31">
        <v>5</v>
      </c>
      <c r="D31">
        <v>3</v>
      </c>
      <c r="E31">
        <f t="shared" si="0"/>
        <v>14</v>
      </c>
      <c r="F31">
        <v>1</v>
      </c>
    </row>
    <row r="32" spans="1:6" x14ac:dyDescent="0.3">
      <c r="A32">
        <v>5</v>
      </c>
      <c r="B32">
        <v>5</v>
      </c>
      <c r="C32">
        <v>5</v>
      </c>
      <c r="D32">
        <v>3</v>
      </c>
      <c r="E32">
        <f t="shared" si="0"/>
        <v>18</v>
      </c>
      <c r="F32">
        <v>1</v>
      </c>
    </row>
    <row r="33" spans="1:6" x14ac:dyDescent="0.3">
      <c r="A33">
        <v>1</v>
      </c>
      <c r="B33">
        <v>3</v>
      </c>
      <c r="C33">
        <v>4</v>
      </c>
      <c r="D33">
        <v>4</v>
      </c>
      <c r="E33">
        <f t="shared" si="0"/>
        <v>12</v>
      </c>
      <c r="F33">
        <v>1</v>
      </c>
    </row>
    <row r="34" spans="1:6" x14ac:dyDescent="0.3">
      <c r="A34">
        <v>4</v>
      </c>
      <c r="B34">
        <v>4</v>
      </c>
      <c r="C34">
        <v>4</v>
      </c>
      <c r="D34">
        <v>5</v>
      </c>
      <c r="E34">
        <f t="shared" ref="E34:E65" si="1">SUM(A34:D34)</f>
        <v>17</v>
      </c>
      <c r="F34">
        <v>1</v>
      </c>
    </row>
    <row r="35" spans="1:6" x14ac:dyDescent="0.3">
      <c r="A35">
        <v>4</v>
      </c>
      <c r="B35">
        <v>3</v>
      </c>
      <c r="C35">
        <v>5</v>
      </c>
      <c r="D35">
        <v>3</v>
      </c>
      <c r="E35">
        <f t="shared" si="1"/>
        <v>15</v>
      </c>
      <c r="F35">
        <v>1</v>
      </c>
    </row>
    <row r="36" spans="1:6" x14ac:dyDescent="0.3">
      <c r="A36">
        <v>3</v>
      </c>
      <c r="B36">
        <v>3</v>
      </c>
      <c r="C36">
        <v>4</v>
      </c>
      <c r="D36">
        <v>2</v>
      </c>
      <c r="E36">
        <f t="shared" si="1"/>
        <v>12</v>
      </c>
      <c r="F36">
        <v>1</v>
      </c>
    </row>
    <row r="37" spans="1:6" x14ac:dyDescent="0.3">
      <c r="A37">
        <v>4</v>
      </c>
      <c r="B37">
        <v>4</v>
      </c>
      <c r="C37">
        <v>5</v>
      </c>
      <c r="D37">
        <v>2</v>
      </c>
      <c r="E37">
        <f t="shared" si="1"/>
        <v>15</v>
      </c>
      <c r="F37">
        <v>1</v>
      </c>
    </row>
    <row r="38" spans="1:6" x14ac:dyDescent="0.3">
      <c r="A38">
        <v>4</v>
      </c>
      <c r="B38">
        <v>4</v>
      </c>
      <c r="C38">
        <v>5</v>
      </c>
      <c r="D38">
        <v>5</v>
      </c>
      <c r="E38">
        <f t="shared" si="1"/>
        <v>18</v>
      </c>
      <c r="F38">
        <v>1</v>
      </c>
    </row>
    <row r="39" spans="1:6" x14ac:dyDescent="0.3">
      <c r="A39">
        <v>5</v>
      </c>
      <c r="B39">
        <v>5</v>
      </c>
      <c r="C39">
        <v>5</v>
      </c>
      <c r="D39">
        <v>5</v>
      </c>
      <c r="E39">
        <f t="shared" si="1"/>
        <v>20</v>
      </c>
      <c r="F39">
        <v>1</v>
      </c>
    </row>
    <row r="40" spans="1:6" x14ac:dyDescent="0.3">
      <c r="A40">
        <v>4</v>
      </c>
      <c r="B40">
        <v>5</v>
      </c>
      <c r="C40">
        <v>5</v>
      </c>
      <c r="D40">
        <v>5</v>
      </c>
      <c r="E40">
        <f t="shared" si="1"/>
        <v>19</v>
      </c>
      <c r="F40">
        <v>1</v>
      </c>
    </row>
    <row r="41" spans="1:6" x14ac:dyDescent="0.3">
      <c r="A41">
        <v>5</v>
      </c>
      <c r="B41">
        <v>5</v>
      </c>
      <c r="C41">
        <v>5</v>
      </c>
      <c r="D41">
        <v>5</v>
      </c>
      <c r="E41">
        <f t="shared" si="1"/>
        <v>20</v>
      </c>
      <c r="F41">
        <v>1</v>
      </c>
    </row>
    <row r="42" spans="1:6" x14ac:dyDescent="0.3">
      <c r="A42">
        <v>4</v>
      </c>
      <c r="B42">
        <v>4</v>
      </c>
      <c r="C42">
        <v>4</v>
      </c>
      <c r="D42">
        <v>4</v>
      </c>
      <c r="E42">
        <f t="shared" si="1"/>
        <v>16</v>
      </c>
      <c r="F42">
        <v>1</v>
      </c>
    </row>
    <row r="43" spans="1:6" x14ac:dyDescent="0.3">
      <c r="A43">
        <v>4</v>
      </c>
      <c r="B43">
        <v>4</v>
      </c>
      <c r="C43">
        <v>5</v>
      </c>
      <c r="D43">
        <v>5</v>
      </c>
      <c r="E43">
        <f t="shared" si="1"/>
        <v>18</v>
      </c>
      <c r="F43">
        <v>2</v>
      </c>
    </row>
    <row r="44" spans="1:6" x14ac:dyDescent="0.3">
      <c r="A44">
        <v>3</v>
      </c>
      <c r="B44">
        <v>3</v>
      </c>
      <c r="C44">
        <v>5</v>
      </c>
      <c r="D44">
        <v>4</v>
      </c>
      <c r="E44">
        <f t="shared" si="1"/>
        <v>15</v>
      </c>
      <c r="F44">
        <v>2</v>
      </c>
    </row>
    <row r="45" spans="1:6" x14ac:dyDescent="0.3">
      <c r="A45">
        <v>5</v>
      </c>
      <c r="B45">
        <v>5</v>
      </c>
      <c r="C45">
        <v>5</v>
      </c>
      <c r="D45">
        <v>4</v>
      </c>
      <c r="E45">
        <f t="shared" si="1"/>
        <v>19</v>
      </c>
      <c r="F45">
        <v>2</v>
      </c>
    </row>
    <row r="46" spans="1:6" x14ac:dyDescent="0.3">
      <c r="A46">
        <v>3</v>
      </c>
      <c r="B46">
        <v>4</v>
      </c>
      <c r="C46">
        <v>4</v>
      </c>
      <c r="D46">
        <v>4</v>
      </c>
      <c r="E46">
        <f t="shared" si="1"/>
        <v>15</v>
      </c>
      <c r="F46">
        <v>2</v>
      </c>
    </row>
    <row r="47" spans="1:6" x14ac:dyDescent="0.3">
      <c r="A47">
        <v>4</v>
      </c>
      <c r="B47">
        <v>4</v>
      </c>
      <c r="C47">
        <v>5</v>
      </c>
      <c r="D47">
        <v>5</v>
      </c>
      <c r="E47">
        <f t="shared" si="1"/>
        <v>18</v>
      </c>
      <c r="F47">
        <v>2</v>
      </c>
    </row>
    <row r="48" spans="1:6" x14ac:dyDescent="0.3">
      <c r="A48">
        <v>4</v>
      </c>
      <c r="B48">
        <v>5</v>
      </c>
      <c r="C48">
        <v>5</v>
      </c>
      <c r="D48">
        <v>5</v>
      </c>
      <c r="E48">
        <f t="shared" si="1"/>
        <v>19</v>
      </c>
      <c r="F48">
        <v>2</v>
      </c>
    </row>
    <row r="49" spans="1:6" x14ac:dyDescent="0.3">
      <c r="A49">
        <v>4</v>
      </c>
      <c r="B49">
        <v>3</v>
      </c>
      <c r="C49">
        <v>3</v>
      </c>
      <c r="D49">
        <v>3</v>
      </c>
      <c r="E49">
        <f t="shared" si="1"/>
        <v>13</v>
      </c>
      <c r="F49">
        <v>2</v>
      </c>
    </row>
    <row r="50" spans="1:6" x14ac:dyDescent="0.3">
      <c r="A50">
        <v>3</v>
      </c>
      <c r="B50">
        <v>3</v>
      </c>
      <c r="C50">
        <v>3</v>
      </c>
      <c r="D50">
        <v>4</v>
      </c>
      <c r="E50">
        <f t="shared" si="1"/>
        <v>13</v>
      </c>
      <c r="F50">
        <v>2</v>
      </c>
    </row>
    <row r="51" spans="1:6" x14ac:dyDescent="0.3">
      <c r="A51">
        <v>5</v>
      </c>
      <c r="B51">
        <v>5</v>
      </c>
      <c r="C51">
        <v>5</v>
      </c>
      <c r="D51">
        <v>5</v>
      </c>
      <c r="E51">
        <f t="shared" si="1"/>
        <v>20</v>
      </c>
      <c r="F51">
        <v>2</v>
      </c>
    </row>
    <row r="52" spans="1:6" x14ac:dyDescent="0.3">
      <c r="A52">
        <v>5</v>
      </c>
      <c r="B52">
        <v>5</v>
      </c>
      <c r="C52">
        <v>5</v>
      </c>
      <c r="D52">
        <v>5</v>
      </c>
      <c r="E52">
        <f t="shared" si="1"/>
        <v>20</v>
      </c>
      <c r="F52">
        <v>2</v>
      </c>
    </row>
    <row r="53" spans="1:6" x14ac:dyDescent="0.3">
      <c r="A53">
        <v>2</v>
      </c>
      <c r="B53">
        <v>4</v>
      </c>
      <c r="C53">
        <v>4</v>
      </c>
      <c r="D53">
        <v>4</v>
      </c>
      <c r="E53">
        <f t="shared" si="1"/>
        <v>14</v>
      </c>
      <c r="F53">
        <v>2</v>
      </c>
    </row>
    <row r="54" spans="1:6" x14ac:dyDescent="0.3">
      <c r="A54">
        <v>2</v>
      </c>
      <c r="B54">
        <v>3</v>
      </c>
      <c r="C54">
        <v>4</v>
      </c>
      <c r="D54">
        <v>3</v>
      </c>
      <c r="E54">
        <f t="shared" si="1"/>
        <v>12</v>
      </c>
      <c r="F54">
        <v>2</v>
      </c>
    </row>
    <row r="55" spans="1:6" x14ac:dyDescent="0.3">
      <c r="A55">
        <v>5</v>
      </c>
      <c r="B55">
        <v>4</v>
      </c>
      <c r="C55">
        <v>4</v>
      </c>
      <c r="D55">
        <v>2</v>
      </c>
      <c r="E55">
        <f t="shared" si="1"/>
        <v>15</v>
      </c>
      <c r="F55">
        <v>2</v>
      </c>
    </row>
    <row r="56" spans="1:6" x14ac:dyDescent="0.3">
      <c r="A56">
        <v>3</v>
      </c>
      <c r="B56">
        <v>3</v>
      </c>
      <c r="C56">
        <v>4</v>
      </c>
      <c r="D56">
        <v>5</v>
      </c>
      <c r="E56">
        <f t="shared" si="1"/>
        <v>15</v>
      </c>
      <c r="F56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8"/>
  <sheetViews>
    <sheetView topLeftCell="I29" workbookViewId="0">
      <selection sqref="A1:N56"/>
    </sheetView>
  </sheetViews>
  <sheetFormatPr defaultRowHeight="14.4" x14ac:dyDescent="0.3"/>
  <sheetData>
    <row r="1" spans="1:30" x14ac:dyDescent="0.3">
      <c r="A1" t="s">
        <v>57</v>
      </c>
      <c r="B1" t="s">
        <v>58</v>
      </c>
      <c r="C1" t="s">
        <v>59</v>
      </c>
      <c r="D1" t="s">
        <v>135</v>
      </c>
      <c r="E1" t="s">
        <v>137</v>
      </c>
      <c r="F1" t="s">
        <v>138</v>
      </c>
      <c r="G1" t="s">
        <v>144</v>
      </c>
      <c r="H1" t="s">
        <v>145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136</v>
      </c>
    </row>
    <row r="2" spans="1:30" x14ac:dyDescent="0.3">
      <c r="A2">
        <v>21</v>
      </c>
      <c r="B2">
        <v>1</v>
      </c>
      <c r="C2">
        <v>1</v>
      </c>
      <c r="D2">
        <v>2</v>
      </c>
      <c r="E2">
        <v>1</v>
      </c>
      <c r="F2">
        <v>3</v>
      </c>
      <c r="G2">
        <v>5</v>
      </c>
      <c r="H2">
        <v>5</v>
      </c>
      <c r="I2">
        <v>5</v>
      </c>
      <c r="J2">
        <v>5</v>
      </c>
      <c r="K2">
        <v>5</v>
      </c>
      <c r="L2">
        <v>1</v>
      </c>
      <c r="M2">
        <v>1</v>
      </c>
      <c r="N2">
        <v>1</v>
      </c>
    </row>
    <row r="3" spans="1:30" x14ac:dyDescent="0.3">
      <c r="A3">
        <v>18</v>
      </c>
      <c r="B3">
        <v>2</v>
      </c>
      <c r="C3">
        <v>1</v>
      </c>
      <c r="D3">
        <v>2</v>
      </c>
      <c r="E3">
        <v>1</v>
      </c>
      <c r="F3">
        <v>2</v>
      </c>
      <c r="G3">
        <v>2</v>
      </c>
      <c r="H3">
        <v>2</v>
      </c>
      <c r="I3">
        <v>4</v>
      </c>
      <c r="J3">
        <v>4</v>
      </c>
      <c r="K3">
        <v>4</v>
      </c>
      <c r="L3">
        <v>1</v>
      </c>
      <c r="M3">
        <v>1</v>
      </c>
      <c r="N3">
        <v>1</v>
      </c>
    </row>
    <row r="4" spans="1:30" ht="15" thickBot="1" x14ac:dyDescent="0.35">
      <c r="A4">
        <v>17</v>
      </c>
      <c r="B4">
        <v>1</v>
      </c>
      <c r="C4">
        <v>2</v>
      </c>
      <c r="D4">
        <v>2</v>
      </c>
      <c r="E4">
        <v>1</v>
      </c>
      <c r="F4">
        <v>2</v>
      </c>
      <c r="G4">
        <v>1</v>
      </c>
      <c r="H4">
        <v>3</v>
      </c>
      <c r="I4">
        <v>5</v>
      </c>
      <c r="J4">
        <v>3</v>
      </c>
      <c r="K4">
        <v>2</v>
      </c>
      <c r="L4">
        <v>2</v>
      </c>
      <c r="M4">
        <v>1</v>
      </c>
      <c r="N4">
        <v>1</v>
      </c>
    </row>
    <row r="5" spans="1:30" x14ac:dyDescent="0.3">
      <c r="A5">
        <v>18</v>
      </c>
      <c r="B5">
        <v>1</v>
      </c>
      <c r="C5">
        <v>1</v>
      </c>
      <c r="D5">
        <v>1</v>
      </c>
      <c r="E5">
        <v>1</v>
      </c>
      <c r="F5">
        <v>2</v>
      </c>
      <c r="G5">
        <v>4</v>
      </c>
      <c r="H5">
        <v>4</v>
      </c>
      <c r="I5">
        <v>5</v>
      </c>
      <c r="J5">
        <v>3</v>
      </c>
      <c r="K5">
        <v>4</v>
      </c>
      <c r="L5">
        <v>1</v>
      </c>
      <c r="M5">
        <v>1</v>
      </c>
      <c r="N5">
        <v>1</v>
      </c>
      <c r="P5" s="3"/>
      <c r="Q5" s="3" t="s">
        <v>57</v>
      </c>
      <c r="R5" s="3" t="s">
        <v>58</v>
      </c>
      <c r="S5" s="3" t="s">
        <v>59</v>
      </c>
      <c r="T5" s="3" t="s">
        <v>135</v>
      </c>
      <c r="U5" s="3" t="s">
        <v>137</v>
      </c>
      <c r="V5" s="3" t="s">
        <v>138</v>
      </c>
      <c r="W5" s="3" t="s">
        <v>144</v>
      </c>
      <c r="X5" s="3" t="s">
        <v>145</v>
      </c>
      <c r="Y5" s="3" t="s">
        <v>139</v>
      </c>
      <c r="Z5" s="3" t="s">
        <v>140</v>
      </c>
      <c r="AA5" s="3" t="s">
        <v>141</v>
      </c>
      <c r="AB5" s="3" t="s">
        <v>142</v>
      </c>
      <c r="AC5" s="3" t="s">
        <v>143</v>
      </c>
      <c r="AD5" s="3" t="s">
        <v>136</v>
      </c>
    </row>
    <row r="6" spans="1:30" x14ac:dyDescent="0.3">
      <c r="A6">
        <v>18</v>
      </c>
      <c r="B6">
        <v>1</v>
      </c>
      <c r="C6">
        <v>1</v>
      </c>
      <c r="D6">
        <v>2</v>
      </c>
      <c r="E6">
        <v>1</v>
      </c>
      <c r="F6">
        <v>3</v>
      </c>
      <c r="G6">
        <v>3</v>
      </c>
      <c r="H6">
        <v>2</v>
      </c>
      <c r="I6">
        <v>4</v>
      </c>
      <c r="J6">
        <v>4</v>
      </c>
      <c r="K6">
        <v>3</v>
      </c>
      <c r="L6">
        <v>1</v>
      </c>
      <c r="M6">
        <v>1</v>
      </c>
      <c r="N6">
        <v>1</v>
      </c>
      <c r="P6" t="s">
        <v>57</v>
      </c>
      <c r="Q6">
        <f>VARP('Raw data numerical'!$A$2:$A$56)</f>
        <v>0.90247933884297449</v>
      </c>
    </row>
    <row r="7" spans="1:30" x14ac:dyDescent="0.3">
      <c r="A7">
        <v>18</v>
      </c>
      <c r="B7">
        <v>2</v>
      </c>
      <c r="C7">
        <v>1</v>
      </c>
      <c r="D7">
        <v>2</v>
      </c>
      <c r="E7">
        <v>1</v>
      </c>
      <c r="F7">
        <v>3</v>
      </c>
      <c r="G7">
        <v>2</v>
      </c>
      <c r="H7">
        <v>4</v>
      </c>
      <c r="I7">
        <v>5</v>
      </c>
      <c r="J7">
        <v>4</v>
      </c>
      <c r="K7">
        <v>5</v>
      </c>
      <c r="L7">
        <v>1</v>
      </c>
      <c r="M7">
        <v>1</v>
      </c>
      <c r="N7">
        <v>1</v>
      </c>
      <c r="P7" t="s">
        <v>58</v>
      </c>
      <c r="Q7">
        <v>-9.9173553719008462E-3</v>
      </c>
      <c r="R7">
        <f>VARP('Raw data numerical'!$B$2:$B$56)</f>
        <v>0.24330578512396694</v>
      </c>
    </row>
    <row r="8" spans="1:30" x14ac:dyDescent="0.3">
      <c r="A8">
        <v>20</v>
      </c>
      <c r="B8">
        <v>1</v>
      </c>
      <c r="C8">
        <v>2</v>
      </c>
      <c r="D8">
        <v>2</v>
      </c>
      <c r="E8">
        <v>1</v>
      </c>
      <c r="F8">
        <v>3</v>
      </c>
      <c r="G8">
        <v>4</v>
      </c>
      <c r="H8">
        <v>2</v>
      </c>
      <c r="I8">
        <v>2</v>
      </c>
      <c r="J8">
        <v>1</v>
      </c>
      <c r="K8">
        <v>4</v>
      </c>
      <c r="L8">
        <v>2</v>
      </c>
      <c r="M8">
        <v>2</v>
      </c>
      <c r="N8">
        <v>1</v>
      </c>
      <c r="P8" t="s">
        <v>59</v>
      </c>
      <c r="Q8">
        <v>8.4297520661157033E-2</v>
      </c>
      <c r="R8">
        <v>3.7355371900826433E-2</v>
      </c>
      <c r="S8">
        <f>VARP('Raw data numerical'!$C$2:$C$56)</f>
        <v>0.29884297520661157</v>
      </c>
    </row>
    <row r="9" spans="1:30" x14ac:dyDescent="0.3">
      <c r="A9">
        <v>18</v>
      </c>
      <c r="B9">
        <v>2</v>
      </c>
      <c r="C9">
        <v>1</v>
      </c>
      <c r="D9">
        <v>2</v>
      </c>
      <c r="E9">
        <v>1</v>
      </c>
      <c r="F9">
        <v>3</v>
      </c>
      <c r="G9">
        <v>2</v>
      </c>
      <c r="H9">
        <v>4</v>
      </c>
      <c r="I9">
        <v>5</v>
      </c>
      <c r="J9">
        <v>4</v>
      </c>
      <c r="K9">
        <v>4</v>
      </c>
      <c r="L9">
        <v>1</v>
      </c>
      <c r="M9">
        <v>2</v>
      </c>
      <c r="N9">
        <v>1</v>
      </c>
      <c r="P9" t="s">
        <v>135</v>
      </c>
      <c r="Q9">
        <v>5.1239669421487603E-2</v>
      </c>
      <c r="R9">
        <v>9.586776859504131E-3</v>
      </c>
      <c r="S9">
        <v>-1.4214876033057842E-2</v>
      </c>
      <c r="T9">
        <f>VARP('Raw data numerical'!$D$2:$D$56)</f>
        <v>0.22016528925619835</v>
      </c>
    </row>
    <row r="10" spans="1:30" x14ac:dyDescent="0.3">
      <c r="A10">
        <v>18</v>
      </c>
      <c r="B10">
        <v>2</v>
      </c>
      <c r="C10">
        <v>1</v>
      </c>
      <c r="D10">
        <v>2</v>
      </c>
      <c r="E10">
        <v>1</v>
      </c>
      <c r="F10">
        <v>3</v>
      </c>
      <c r="G10">
        <v>2</v>
      </c>
      <c r="H10">
        <v>4</v>
      </c>
      <c r="I10">
        <v>5</v>
      </c>
      <c r="J10">
        <v>5</v>
      </c>
      <c r="K10">
        <v>5</v>
      </c>
      <c r="L10">
        <v>1</v>
      </c>
      <c r="M10">
        <v>2</v>
      </c>
      <c r="N10">
        <v>2</v>
      </c>
      <c r="P10" t="s">
        <v>137</v>
      </c>
      <c r="Q10">
        <v>0</v>
      </c>
      <c r="R10">
        <v>0</v>
      </c>
      <c r="S10">
        <v>0</v>
      </c>
      <c r="T10">
        <v>0</v>
      </c>
      <c r="U10">
        <f>VARP('Raw data numerical'!$E$2:$E$56)</f>
        <v>0</v>
      </c>
    </row>
    <row r="11" spans="1:30" x14ac:dyDescent="0.3">
      <c r="A11">
        <v>19</v>
      </c>
      <c r="B11">
        <v>1</v>
      </c>
      <c r="C11">
        <v>1</v>
      </c>
      <c r="D11">
        <v>2</v>
      </c>
      <c r="E11">
        <v>1</v>
      </c>
      <c r="F11">
        <v>3</v>
      </c>
      <c r="G11">
        <v>3</v>
      </c>
      <c r="H11">
        <v>3</v>
      </c>
      <c r="I11">
        <v>5</v>
      </c>
      <c r="J11">
        <v>4</v>
      </c>
      <c r="K11">
        <v>5</v>
      </c>
      <c r="L11">
        <v>1</v>
      </c>
      <c r="M11">
        <v>2</v>
      </c>
      <c r="N11">
        <v>2</v>
      </c>
      <c r="P11" t="s">
        <v>138</v>
      </c>
      <c r="Q11">
        <v>1.3223140495867784E-2</v>
      </c>
      <c r="R11">
        <v>-1.289256198347106E-2</v>
      </c>
      <c r="S11">
        <v>4.2314049586776856E-2</v>
      </c>
      <c r="T11">
        <v>2.1157024793388428E-2</v>
      </c>
      <c r="U11">
        <v>0</v>
      </c>
      <c r="V11">
        <f>VARP('Raw data numerical'!$F$2:$F$56)</f>
        <v>0.3953719008264463</v>
      </c>
    </row>
    <row r="12" spans="1:30" x14ac:dyDescent="0.3">
      <c r="A12">
        <v>18</v>
      </c>
      <c r="B12">
        <v>2</v>
      </c>
      <c r="C12">
        <v>2</v>
      </c>
      <c r="D12">
        <v>1</v>
      </c>
      <c r="E12">
        <v>1</v>
      </c>
      <c r="F12">
        <v>3</v>
      </c>
      <c r="G12">
        <v>1</v>
      </c>
      <c r="H12">
        <v>5</v>
      </c>
      <c r="I12">
        <v>5</v>
      </c>
      <c r="J12">
        <v>4</v>
      </c>
      <c r="K12">
        <v>4</v>
      </c>
      <c r="L12">
        <v>1</v>
      </c>
      <c r="M12">
        <v>1</v>
      </c>
      <c r="N12">
        <v>2</v>
      </c>
      <c r="P12" t="s">
        <v>144</v>
      </c>
      <c r="Q12">
        <v>2.8099173553719225E-2</v>
      </c>
      <c r="R12">
        <v>-0.18148760330578517</v>
      </c>
      <c r="S12">
        <v>-8.8264462809917343E-2</v>
      </c>
      <c r="T12">
        <v>-3.5041322314049592E-2</v>
      </c>
      <c r="U12">
        <v>0</v>
      </c>
      <c r="V12">
        <v>3.8347107438016503E-2</v>
      </c>
      <c r="W12" t="s">
        <v>175</v>
      </c>
    </row>
    <row r="13" spans="1:30" x14ac:dyDescent="0.3">
      <c r="A13">
        <v>17</v>
      </c>
      <c r="B13">
        <v>1</v>
      </c>
      <c r="C13">
        <v>2</v>
      </c>
      <c r="D13">
        <v>1</v>
      </c>
      <c r="E13">
        <v>1</v>
      </c>
      <c r="F13">
        <v>3</v>
      </c>
      <c r="G13">
        <v>2</v>
      </c>
      <c r="H13">
        <v>4</v>
      </c>
      <c r="I13">
        <v>5</v>
      </c>
      <c r="J13">
        <v>4</v>
      </c>
      <c r="K13">
        <v>4</v>
      </c>
      <c r="L13">
        <v>1</v>
      </c>
      <c r="M13">
        <v>1</v>
      </c>
      <c r="N13">
        <v>1</v>
      </c>
      <c r="P13" t="s">
        <v>145</v>
      </c>
      <c r="Q13">
        <v>2.1487603305785117E-2</v>
      </c>
      <c r="R13">
        <v>0.14314049586776856</v>
      </c>
      <c r="S13">
        <v>1.7851239669421502E-2</v>
      </c>
      <c r="T13">
        <v>-6.3801652892561969E-2</v>
      </c>
      <c r="U13">
        <v>0</v>
      </c>
      <c r="V13">
        <v>-1.3884297520661129E-2</v>
      </c>
      <c r="W13">
        <v>-0.66677685950413212</v>
      </c>
      <c r="X13">
        <f>VARP('Raw data numerical'!$H$2:$H$56)</f>
        <v>1.4128925619834711</v>
      </c>
    </row>
    <row r="14" spans="1:30" x14ac:dyDescent="0.3">
      <c r="A14">
        <v>19</v>
      </c>
      <c r="B14">
        <v>2</v>
      </c>
      <c r="C14">
        <v>1</v>
      </c>
      <c r="D14">
        <v>2</v>
      </c>
      <c r="E14">
        <v>1</v>
      </c>
      <c r="F14">
        <v>3</v>
      </c>
      <c r="G14">
        <v>3</v>
      </c>
      <c r="H14">
        <v>4</v>
      </c>
      <c r="I14">
        <v>4</v>
      </c>
      <c r="J14">
        <v>4</v>
      </c>
      <c r="K14">
        <v>3</v>
      </c>
      <c r="L14">
        <v>2</v>
      </c>
      <c r="M14">
        <v>1</v>
      </c>
      <c r="N14">
        <v>2</v>
      </c>
      <c r="P14" t="s">
        <v>139</v>
      </c>
      <c r="Q14">
        <v>-5.2892561983471122E-2</v>
      </c>
      <c r="R14">
        <v>8.4297520661157033E-2</v>
      </c>
      <c r="S14">
        <v>1.9834710743801675E-2</v>
      </c>
      <c r="T14">
        <v>4.6280991735537187E-2</v>
      </c>
      <c r="U14">
        <v>0</v>
      </c>
      <c r="V14">
        <v>-2.1487603305785113E-2</v>
      </c>
      <c r="W14">
        <v>-0.39338842975206634</v>
      </c>
      <c r="X14">
        <v>0.55371900826446319</v>
      </c>
      <c r="Y14">
        <f>VARP('Raw data numerical'!$I$2:$I$56)</f>
        <v>0.81322314049586775</v>
      </c>
    </row>
    <row r="15" spans="1:30" x14ac:dyDescent="0.3">
      <c r="A15">
        <v>19</v>
      </c>
      <c r="B15">
        <v>2</v>
      </c>
      <c r="C15">
        <v>1</v>
      </c>
      <c r="D15">
        <v>2</v>
      </c>
      <c r="E15">
        <v>1</v>
      </c>
      <c r="F15">
        <v>2</v>
      </c>
      <c r="G15">
        <v>2</v>
      </c>
      <c r="H15">
        <v>1</v>
      </c>
      <c r="I15">
        <v>5</v>
      </c>
      <c r="J15">
        <v>5</v>
      </c>
      <c r="K15">
        <v>3</v>
      </c>
      <c r="L15">
        <v>1</v>
      </c>
      <c r="M15">
        <v>1</v>
      </c>
      <c r="N15">
        <v>1</v>
      </c>
      <c r="P15" t="s">
        <v>140</v>
      </c>
      <c r="Q15">
        <v>-0.20165289256198343</v>
      </c>
      <c r="R15">
        <v>0.27206611570247941</v>
      </c>
      <c r="S15">
        <v>-5.98347107438017E-2</v>
      </c>
      <c r="T15">
        <v>5.1900826446280988E-2</v>
      </c>
      <c r="U15">
        <v>0</v>
      </c>
      <c r="V15">
        <v>-2.2148760330578464E-2</v>
      </c>
      <c r="W15">
        <v>-0.81388429752066094</v>
      </c>
      <c r="X15">
        <v>0.91537190082644615</v>
      </c>
      <c r="Y15">
        <v>0.51404958677685963</v>
      </c>
      <c r="Z15">
        <f>VARP('Raw data numerical'!$J$2:$J$56)</f>
        <v>1.8459504132231406</v>
      </c>
    </row>
    <row r="16" spans="1:30" x14ac:dyDescent="0.3">
      <c r="A16">
        <v>18</v>
      </c>
      <c r="B16">
        <v>1</v>
      </c>
      <c r="C16">
        <v>2</v>
      </c>
      <c r="D16">
        <v>2</v>
      </c>
      <c r="E16">
        <v>1</v>
      </c>
      <c r="F16">
        <v>3</v>
      </c>
      <c r="G16">
        <v>3</v>
      </c>
      <c r="H16">
        <v>2</v>
      </c>
      <c r="I16">
        <v>4</v>
      </c>
      <c r="J16">
        <v>2</v>
      </c>
      <c r="K16">
        <v>3</v>
      </c>
      <c r="L16">
        <v>2</v>
      </c>
      <c r="M16">
        <v>1</v>
      </c>
      <c r="N16">
        <v>1</v>
      </c>
      <c r="P16" t="s">
        <v>141</v>
      </c>
      <c r="Q16">
        <v>6.4462809917355451E-2</v>
      </c>
      <c r="R16">
        <v>3.6694214876033047E-2</v>
      </c>
      <c r="S16">
        <v>-3.3719008264462766E-2</v>
      </c>
      <c r="T16">
        <v>-1.6859504132231418E-2</v>
      </c>
      <c r="U16">
        <v>0</v>
      </c>
      <c r="V16">
        <v>0.12925619834710744</v>
      </c>
      <c r="W16">
        <v>-4.760330578512393E-2</v>
      </c>
      <c r="X16">
        <v>0.51504132231404998</v>
      </c>
      <c r="Y16">
        <v>0.20661157024793389</v>
      </c>
      <c r="Z16">
        <v>0.60429752066115694</v>
      </c>
      <c r="AA16">
        <f>VARP('Raw data numerical'!$K$2:$K$56)</f>
        <v>0.93421487603305786</v>
      </c>
    </row>
    <row r="17" spans="1:30" x14ac:dyDescent="0.3">
      <c r="A17">
        <v>17</v>
      </c>
      <c r="B17">
        <v>2</v>
      </c>
      <c r="C17">
        <v>1</v>
      </c>
      <c r="D17">
        <v>2</v>
      </c>
      <c r="E17">
        <v>1</v>
      </c>
      <c r="F17">
        <v>2</v>
      </c>
      <c r="G17">
        <v>2</v>
      </c>
      <c r="H17">
        <v>4</v>
      </c>
      <c r="I17">
        <v>5</v>
      </c>
      <c r="J17">
        <v>5</v>
      </c>
      <c r="K17">
        <v>3</v>
      </c>
      <c r="L17">
        <v>1</v>
      </c>
      <c r="M17">
        <v>1</v>
      </c>
      <c r="N17">
        <v>2</v>
      </c>
      <c r="P17" t="s">
        <v>142</v>
      </c>
      <c r="Q17">
        <v>5.1239669421487576E-2</v>
      </c>
      <c r="R17">
        <v>-4.1322314049586778E-2</v>
      </c>
      <c r="S17">
        <v>3.3057851239669415E-2</v>
      </c>
      <c r="T17">
        <v>-1.6528925619834576E-3</v>
      </c>
      <c r="U17">
        <v>0</v>
      </c>
      <c r="V17">
        <v>6.6115702479338746E-3</v>
      </c>
      <c r="W17">
        <v>0.11404958677685949</v>
      </c>
      <c r="X17">
        <v>-0.1801652892561984</v>
      </c>
      <c r="Y17">
        <v>-6.2809917355371891E-2</v>
      </c>
      <c r="Z17">
        <v>-0.30082644628099175</v>
      </c>
      <c r="AA17">
        <v>-6.7768595041322349E-2</v>
      </c>
      <c r="AB17">
        <f>VARP('Raw data numerical'!$L$2:$L$56)</f>
        <v>0.19834710743801653</v>
      </c>
    </row>
    <row r="18" spans="1:30" x14ac:dyDescent="0.3">
      <c r="A18">
        <v>19</v>
      </c>
      <c r="B18">
        <v>1</v>
      </c>
      <c r="C18">
        <v>2</v>
      </c>
      <c r="D18">
        <v>2</v>
      </c>
      <c r="E18">
        <v>1</v>
      </c>
      <c r="F18">
        <v>3</v>
      </c>
      <c r="G18">
        <v>2</v>
      </c>
      <c r="H18">
        <v>4</v>
      </c>
      <c r="I18">
        <v>5</v>
      </c>
      <c r="J18">
        <v>2</v>
      </c>
      <c r="K18">
        <v>4</v>
      </c>
      <c r="L18">
        <v>2</v>
      </c>
      <c r="M18">
        <v>2</v>
      </c>
      <c r="N18">
        <v>1</v>
      </c>
      <c r="P18" t="s">
        <v>143</v>
      </c>
      <c r="Q18">
        <v>3.9669421487603336E-2</v>
      </c>
      <c r="R18">
        <v>-4.5950413223140481E-2</v>
      </c>
      <c r="S18">
        <v>-2.2148760330578506E-2</v>
      </c>
      <c r="T18">
        <v>-1.9834710743801679E-3</v>
      </c>
      <c r="U18">
        <v>0</v>
      </c>
      <c r="V18">
        <v>1.5206611570247964E-2</v>
      </c>
      <c r="W18">
        <v>0.14413223140495865</v>
      </c>
      <c r="X18">
        <v>-9.9834710743801638E-2</v>
      </c>
      <c r="Y18">
        <v>-0.10082644628099167</v>
      </c>
      <c r="Z18">
        <v>-0.25190082644628103</v>
      </c>
      <c r="AA18">
        <v>-3.7685950413223125E-2</v>
      </c>
      <c r="AB18">
        <v>5.6198347107438013E-2</v>
      </c>
      <c r="AC18">
        <f>VARP('Raw data numerical'!$M$2:$M$56)</f>
        <v>0.22016528925619835</v>
      </c>
    </row>
    <row r="19" spans="1:30" ht="15" thickBot="1" x14ac:dyDescent="0.35">
      <c r="A19">
        <v>17</v>
      </c>
      <c r="B19">
        <v>1</v>
      </c>
      <c r="C19">
        <v>1</v>
      </c>
      <c r="D19">
        <v>1</v>
      </c>
      <c r="E19">
        <v>1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1</v>
      </c>
      <c r="M19">
        <v>1</v>
      </c>
      <c r="N19">
        <v>1</v>
      </c>
      <c r="P19" s="2" t="s">
        <v>136</v>
      </c>
      <c r="Q19" s="2">
        <v>-4.7933884297520643E-2</v>
      </c>
      <c r="R19" s="2">
        <v>5.7190082644628132E-2</v>
      </c>
      <c r="S19" s="2">
        <v>-6.9752066115702477E-2</v>
      </c>
      <c r="T19" s="2">
        <v>-7.6033057851239792E-3</v>
      </c>
      <c r="U19" s="2">
        <v>0</v>
      </c>
      <c r="V19" s="2">
        <v>-2.0495867768595008E-2</v>
      </c>
      <c r="W19" s="2">
        <v>-0.1262809917355372</v>
      </c>
      <c r="X19" s="2">
        <v>0.10214876033057851</v>
      </c>
      <c r="Y19" s="2">
        <v>-1.6528925619834778E-3</v>
      </c>
      <c r="Z19" s="2">
        <v>0.17983471074380167</v>
      </c>
      <c r="AA19" s="2">
        <v>-1.7190082644628103E-2</v>
      </c>
      <c r="AB19" s="2">
        <v>-3.3057851239669415E-2</v>
      </c>
      <c r="AC19" s="2">
        <v>7.6033057851239731E-3</v>
      </c>
      <c r="AD19" s="2">
        <f>VARP('Raw data numerical'!$N$2:$N$56)</f>
        <v>0.18975206611570247</v>
      </c>
    </row>
    <row r="20" spans="1:30" x14ac:dyDescent="0.3">
      <c r="A20">
        <v>19</v>
      </c>
      <c r="B20">
        <v>1</v>
      </c>
      <c r="C20">
        <v>1</v>
      </c>
      <c r="D20">
        <v>2</v>
      </c>
      <c r="E20">
        <v>1</v>
      </c>
      <c r="F20">
        <v>3</v>
      </c>
      <c r="G20">
        <v>3</v>
      </c>
      <c r="H20">
        <v>5</v>
      </c>
      <c r="I20">
        <v>5</v>
      </c>
      <c r="J20">
        <v>4</v>
      </c>
      <c r="K20">
        <v>4</v>
      </c>
      <c r="L20">
        <v>1</v>
      </c>
      <c r="M20">
        <v>1</v>
      </c>
      <c r="N20">
        <v>1</v>
      </c>
    </row>
    <row r="21" spans="1:30" x14ac:dyDescent="0.3">
      <c r="A21">
        <v>18</v>
      </c>
      <c r="B21">
        <v>1</v>
      </c>
      <c r="C21">
        <v>1</v>
      </c>
      <c r="D21">
        <v>2</v>
      </c>
      <c r="E21">
        <v>1</v>
      </c>
      <c r="F21">
        <v>1</v>
      </c>
      <c r="G21">
        <v>2</v>
      </c>
      <c r="H21">
        <v>5</v>
      </c>
      <c r="I21">
        <v>5</v>
      </c>
      <c r="J21">
        <v>5</v>
      </c>
      <c r="K21">
        <v>5</v>
      </c>
      <c r="L21">
        <v>1</v>
      </c>
      <c r="M21">
        <v>1</v>
      </c>
      <c r="N21">
        <v>2</v>
      </c>
    </row>
    <row r="22" spans="1:30" x14ac:dyDescent="0.3">
      <c r="A22">
        <v>18</v>
      </c>
      <c r="B22">
        <v>1</v>
      </c>
      <c r="C22">
        <v>2</v>
      </c>
      <c r="D22">
        <v>1</v>
      </c>
      <c r="E22">
        <v>1</v>
      </c>
      <c r="F22">
        <v>3</v>
      </c>
      <c r="G22">
        <v>4</v>
      </c>
      <c r="H22">
        <v>3</v>
      </c>
      <c r="I22">
        <v>4</v>
      </c>
      <c r="J22">
        <v>3</v>
      </c>
      <c r="K22">
        <v>3</v>
      </c>
      <c r="L22">
        <v>1</v>
      </c>
      <c r="M22">
        <v>2</v>
      </c>
      <c r="N22">
        <v>1</v>
      </c>
    </row>
    <row r="23" spans="1:30" x14ac:dyDescent="0.3">
      <c r="A23">
        <v>19</v>
      </c>
      <c r="B23">
        <v>2</v>
      </c>
      <c r="C23">
        <v>1</v>
      </c>
      <c r="D23">
        <v>2</v>
      </c>
      <c r="E23">
        <v>1</v>
      </c>
      <c r="F23">
        <v>2</v>
      </c>
      <c r="G23">
        <v>2</v>
      </c>
      <c r="H23">
        <v>3</v>
      </c>
      <c r="I23">
        <v>3</v>
      </c>
      <c r="J23">
        <v>3</v>
      </c>
      <c r="K23">
        <v>3</v>
      </c>
      <c r="L23">
        <v>1</v>
      </c>
      <c r="M23">
        <v>1</v>
      </c>
      <c r="N23">
        <v>2</v>
      </c>
    </row>
    <row r="24" spans="1:30" x14ac:dyDescent="0.3">
      <c r="A24">
        <v>17</v>
      </c>
      <c r="B24">
        <v>2</v>
      </c>
      <c r="C24">
        <v>1</v>
      </c>
      <c r="D24">
        <v>2</v>
      </c>
      <c r="E24">
        <v>1</v>
      </c>
      <c r="F24">
        <v>3</v>
      </c>
      <c r="G24">
        <v>3</v>
      </c>
      <c r="H24">
        <v>5</v>
      </c>
      <c r="I24">
        <v>4</v>
      </c>
      <c r="J24">
        <v>5</v>
      </c>
      <c r="K24">
        <v>4</v>
      </c>
      <c r="L24">
        <v>1</v>
      </c>
      <c r="M24">
        <v>1</v>
      </c>
      <c r="N24">
        <v>1</v>
      </c>
    </row>
    <row r="25" spans="1:30" x14ac:dyDescent="0.3">
      <c r="A25">
        <v>18</v>
      </c>
      <c r="B25">
        <v>1</v>
      </c>
      <c r="C25">
        <v>1</v>
      </c>
      <c r="D25">
        <v>1</v>
      </c>
      <c r="E25">
        <v>1</v>
      </c>
      <c r="F25">
        <v>2</v>
      </c>
      <c r="G25">
        <v>4</v>
      </c>
      <c r="H25">
        <v>3</v>
      </c>
      <c r="I25">
        <v>5</v>
      </c>
      <c r="J25">
        <v>1</v>
      </c>
      <c r="K25">
        <v>3</v>
      </c>
      <c r="L25">
        <v>2</v>
      </c>
      <c r="M25">
        <v>2</v>
      </c>
      <c r="N25">
        <v>1</v>
      </c>
    </row>
    <row r="26" spans="1:30" x14ac:dyDescent="0.3">
      <c r="A26">
        <v>20</v>
      </c>
      <c r="B26">
        <v>1</v>
      </c>
      <c r="C26">
        <v>1</v>
      </c>
      <c r="D26">
        <v>1</v>
      </c>
      <c r="E26">
        <v>1</v>
      </c>
      <c r="F26">
        <v>2</v>
      </c>
      <c r="G26">
        <v>2</v>
      </c>
      <c r="H26">
        <v>4</v>
      </c>
      <c r="I26">
        <v>5</v>
      </c>
      <c r="J26">
        <v>5</v>
      </c>
      <c r="K26">
        <v>5</v>
      </c>
      <c r="L26">
        <v>2</v>
      </c>
      <c r="M26">
        <v>1</v>
      </c>
      <c r="N26">
        <v>1</v>
      </c>
    </row>
    <row r="27" spans="1:30" x14ac:dyDescent="0.3">
      <c r="A27">
        <v>18</v>
      </c>
      <c r="B27">
        <v>1</v>
      </c>
      <c r="C27">
        <v>1</v>
      </c>
      <c r="D27">
        <v>2</v>
      </c>
      <c r="E27">
        <v>1</v>
      </c>
      <c r="F27">
        <v>3</v>
      </c>
      <c r="G27">
        <v>3</v>
      </c>
      <c r="H27">
        <v>4</v>
      </c>
      <c r="I27">
        <v>5</v>
      </c>
      <c r="J27">
        <v>5</v>
      </c>
      <c r="K27">
        <v>5</v>
      </c>
      <c r="L27">
        <v>1</v>
      </c>
      <c r="M27">
        <v>1</v>
      </c>
      <c r="N27">
        <v>1</v>
      </c>
    </row>
    <row r="28" spans="1:30" x14ac:dyDescent="0.3">
      <c r="A28">
        <v>19</v>
      </c>
      <c r="B28">
        <v>2</v>
      </c>
      <c r="C28">
        <v>1</v>
      </c>
      <c r="D28">
        <v>2</v>
      </c>
      <c r="E28">
        <v>1</v>
      </c>
      <c r="F28">
        <v>3</v>
      </c>
      <c r="G28">
        <v>4</v>
      </c>
      <c r="H28">
        <v>2</v>
      </c>
      <c r="I28">
        <v>3</v>
      </c>
      <c r="J28">
        <v>1</v>
      </c>
      <c r="K28">
        <v>4</v>
      </c>
      <c r="L28">
        <v>2</v>
      </c>
      <c r="M28">
        <v>2</v>
      </c>
      <c r="N28">
        <v>1</v>
      </c>
    </row>
    <row r="29" spans="1:30" x14ac:dyDescent="0.3">
      <c r="A29">
        <v>19</v>
      </c>
      <c r="B29">
        <v>2</v>
      </c>
      <c r="C29">
        <v>2</v>
      </c>
      <c r="D29">
        <v>2</v>
      </c>
      <c r="E29">
        <v>1</v>
      </c>
      <c r="F29">
        <v>1</v>
      </c>
      <c r="G29">
        <v>2</v>
      </c>
      <c r="H29">
        <v>5</v>
      </c>
      <c r="I29">
        <v>5</v>
      </c>
      <c r="J29">
        <v>4</v>
      </c>
      <c r="K29">
        <v>3</v>
      </c>
      <c r="L29">
        <v>1</v>
      </c>
      <c r="M29">
        <v>2</v>
      </c>
      <c r="N29">
        <v>1</v>
      </c>
    </row>
    <row r="30" spans="1:30" x14ac:dyDescent="0.3">
      <c r="A30">
        <v>18</v>
      </c>
      <c r="B30">
        <v>1</v>
      </c>
      <c r="C30">
        <v>2</v>
      </c>
      <c r="D30">
        <v>2</v>
      </c>
      <c r="E30">
        <v>1</v>
      </c>
      <c r="F30">
        <v>2</v>
      </c>
      <c r="G30">
        <v>5</v>
      </c>
      <c r="H30">
        <v>2</v>
      </c>
      <c r="I30">
        <v>5</v>
      </c>
      <c r="J30">
        <v>2</v>
      </c>
      <c r="K30">
        <v>3</v>
      </c>
      <c r="L30">
        <v>1</v>
      </c>
      <c r="M30">
        <v>1</v>
      </c>
      <c r="N30">
        <v>1</v>
      </c>
    </row>
    <row r="31" spans="1:30" x14ac:dyDescent="0.3">
      <c r="A31">
        <v>18</v>
      </c>
      <c r="B31">
        <v>1</v>
      </c>
      <c r="C31">
        <v>1</v>
      </c>
      <c r="D31">
        <v>1</v>
      </c>
      <c r="E31">
        <v>1</v>
      </c>
      <c r="F31">
        <v>1</v>
      </c>
      <c r="G31">
        <v>3</v>
      </c>
      <c r="H31">
        <v>3</v>
      </c>
      <c r="I31">
        <v>3</v>
      </c>
      <c r="J31">
        <v>4</v>
      </c>
      <c r="K31">
        <v>4</v>
      </c>
      <c r="L31">
        <v>2</v>
      </c>
      <c r="M31">
        <v>2</v>
      </c>
      <c r="N31">
        <v>2</v>
      </c>
    </row>
    <row r="32" spans="1:30" x14ac:dyDescent="0.3">
      <c r="A32">
        <v>19</v>
      </c>
      <c r="B32">
        <v>1</v>
      </c>
      <c r="C32">
        <v>1</v>
      </c>
      <c r="D32">
        <v>1</v>
      </c>
      <c r="E32">
        <v>1</v>
      </c>
      <c r="F32">
        <v>3</v>
      </c>
      <c r="G32">
        <v>3</v>
      </c>
      <c r="H32">
        <v>5</v>
      </c>
      <c r="I32">
        <v>5</v>
      </c>
      <c r="J32">
        <v>2</v>
      </c>
      <c r="K32">
        <v>4</v>
      </c>
      <c r="L32">
        <v>2</v>
      </c>
      <c r="M32">
        <v>2</v>
      </c>
      <c r="N32">
        <v>1</v>
      </c>
    </row>
    <row r="33" spans="1:14" x14ac:dyDescent="0.3">
      <c r="A33">
        <v>18</v>
      </c>
      <c r="B33">
        <v>2</v>
      </c>
      <c r="C33">
        <v>1</v>
      </c>
      <c r="D33">
        <v>1</v>
      </c>
      <c r="E33">
        <v>1</v>
      </c>
      <c r="F33">
        <v>3</v>
      </c>
      <c r="G33">
        <v>1</v>
      </c>
      <c r="H33">
        <v>5</v>
      </c>
      <c r="I33">
        <v>5</v>
      </c>
      <c r="J33">
        <v>5</v>
      </c>
      <c r="K33">
        <v>4</v>
      </c>
      <c r="L33">
        <v>1</v>
      </c>
      <c r="M33">
        <v>1</v>
      </c>
      <c r="N33">
        <v>2</v>
      </c>
    </row>
    <row r="34" spans="1:14" x14ac:dyDescent="0.3">
      <c r="A34">
        <v>18</v>
      </c>
      <c r="B34">
        <v>2</v>
      </c>
      <c r="C34">
        <v>1</v>
      </c>
      <c r="D34">
        <v>1</v>
      </c>
      <c r="E34">
        <v>1</v>
      </c>
      <c r="F34">
        <v>3</v>
      </c>
      <c r="G34">
        <v>1</v>
      </c>
      <c r="H34">
        <v>5</v>
      </c>
      <c r="I34">
        <v>5</v>
      </c>
      <c r="J34">
        <v>5</v>
      </c>
      <c r="K34">
        <v>4</v>
      </c>
      <c r="L34">
        <v>1</v>
      </c>
      <c r="M34">
        <v>1</v>
      </c>
      <c r="N34">
        <v>2</v>
      </c>
    </row>
    <row r="35" spans="1:14" x14ac:dyDescent="0.3">
      <c r="A35">
        <v>19</v>
      </c>
      <c r="B35">
        <v>1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1</v>
      </c>
      <c r="M35">
        <v>2</v>
      </c>
      <c r="N35">
        <v>1</v>
      </c>
    </row>
    <row r="36" spans="1:14" x14ac:dyDescent="0.3">
      <c r="A36">
        <v>17</v>
      </c>
      <c r="B36">
        <v>1</v>
      </c>
      <c r="C36">
        <v>1</v>
      </c>
      <c r="D36">
        <v>2</v>
      </c>
      <c r="E36">
        <v>1</v>
      </c>
      <c r="F36">
        <v>3</v>
      </c>
      <c r="G36">
        <v>4</v>
      </c>
      <c r="H36">
        <v>4</v>
      </c>
      <c r="I36">
        <v>4</v>
      </c>
      <c r="J36">
        <v>4</v>
      </c>
      <c r="K36">
        <v>4</v>
      </c>
      <c r="L36">
        <v>1</v>
      </c>
      <c r="M36">
        <v>2</v>
      </c>
      <c r="N36">
        <v>2</v>
      </c>
    </row>
    <row r="37" spans="1:14" x14ac:dyDescent="0.3">
      <c r="A37">
        <v>19</v>
      </c>
      <c r="B37">
        <v>2</v>
      </c>
      <c r="C37">
        <v>1</v>
      </c>
      <c r="D37">
        <v>1</v>
      </c>
      <c r="E37">
        <v>1</v>
      </c>
      <c r="F37">
        <v>1</v>
      </c>
      <c r="G37">
        <v>4</v>
      </c>
      <c r="H37">
        <v>3</v>
      </c>
      <c r="I37">
        <v>4</v>
      </c>
      <c r="J37">
        <v>3</v>
      </c>
      <c r="K37">
        <v>2</v>
      </c>
      <c r="L37">
        <v>1</v>
      </c>
      <c r="M37">
        <v>1</v>
      </c>
      <c r="N37">
        <v>2</v>
      </c>
    </row>
    <row r="38" spans="1:14" x14ac:dyDescent="0.3">
      <c r="A38">
        <v>18</v>
      </c>
      <c r="B38">
        <v>1</v>
      </c>
      <c r="C38">
        <v>1</v>
      </c>
      <c r="D38">
        <v>1</v>
      </c>
      <c r="E38">
        <v>1</v>
      </c>
      <c r="F38">
        <v>3</v>
      </c>
      <c r="G38">
        <v>5</v>
      </c>
      <c r="H38">
        <v>1</v>
      </c>
      <c r="I38">
        <v>4</v>
      </c>
      <c r="J38">
        <v>1</v>
      </c>
      <c r="K38">
        <v>4</v>
      </c>
      <c r="L38">
        <v>2</v>
      </c>
      <c r="M38">
        <v>1</v>
      </c>
      <c r="N38">
        <v>1</v>
      </c>
    </row>
    <row r="39" spans="1:14" x14ac:dyDescent="0.3">
      <c r="A39">
        <v>20</v>
      </c>
      <c r="B39">
        <v>1</v>
      </c>
      <c r="C39">
        <v>1</v>
      </c>
      <c r="D39">
        <v>2</v>
      </c>
      <c r="E39">
        <v>1</v>
      </c>
      <c r="F39">
        <v>3</v>
      </c>
      <c r="G39">
        <v>1</v>
      </c>
      <c r="H39">
        <v>4</v>
      </c>
      <c r="I39">
        <v>4</v>
      </c>
      <c r="J39">
        <v>2</v>
      </c>
      <c r="K39">
        <v>2</v>
      </c>
      <c r="L39">
        <v>1</v>
      </c>
      <c r="M39">
        <v>2</v>
      </c>
      <c r="N39">
        <v>2</v>
      </c>
    </row>
    <row r="40" spans="1:14" x14ac:dyDescent="0.3">
      <c r="A40">
        <v>19</v>
      </c>
      <c r="B40">
        <v>1</v>
      </c>
      <c r="C40">
        <v>1</v>
      </c>
      <c r="D40">
        <v>2</v>
      </c>
      <c r="E40">
        <v>1</v>
      </c>
      <c r="F40">
        <v>3</v>
      </c>
      <c r="G40">
        <v>3</v>
      </c>
      <c r="H40">
        <v>2</v>
      </c>
      <c r="I40">
        <v>5</v>
      </c>
      <c r="J40">
        <v>2</v>
      </c>
      <c r="K40">
        <v>4</v>
      </c>
      <c r="L40">
        <v>2</v>
      </c>
      <c r="M40">
        <v>2</v>
      </c>
      <c r="N40">
        <v>1</v>
      </c>
    </row>
    <row r="41" spans="1:14" x14ac:dyDescent="0.3">
      <c r="A41">
        <v>18</v>
      </c>
      <c r="B41">
        <v>1</v>
      </c>
      <c r="C41">
        <v>1</v>
      </c>
      <c r="D41">
        <v>1</v>
      </c>
      <c r="E41">
        <v>1</v>
      </c>
      <c r="F41">
        <v>2</v>
      </c>
      <c r="G41">
        <v>5</v>
      </c>
      <c r="H41">
        <v>3</v>
      </c>
      <c r="I41">
        <v>2</v>
      </c>
      <c r="J41">
        <v>2</v>
      </c>
      <c r="K41">
        <v>5</v>
      </c>
      <c r="L41">
        <v>1</v>
      </c>
      <c r="M41">
        <v>2</v>
      </c>
      <c r="N41">
        <v>1</v>
      </c>
    </row>
    <row r="42" spans="1:14" x14ac:dyDescent="0.3">
      <c r="A42">
        <v>19</v>
      </c>
      <c r="B42">
        <v>1</v>
      </c>
      <c r="C42">
        <v>2</v>
      </c>
      <c r="D42">
        <v>2</v>
      </c>
      <c r="E42">
        <v>1</v>
      </c>
      <c r="F42">
        <v>3</v>
      </c>
      <c r="G42">
        <v>5</v>
      </c>
      <c r="H42">
        <v>1</v>
      </c>
      <c r="I42">
        <v>2</v>
      </c>
      <c r="J42">
        <v>1</v>
      </c>
      <c r="K42">
        <v>3</v>
      </c>
      <c r="L42">
        <v>2</v>
      </c>
      <c r="M42">
        <v>1</v>
      </c>
      <c r="N42">
        <v>1</v>
      </c>
    </row>
    <row r="43" spans="1:14" x14ac:dyDescent="0.3">
      <c r="A43">
        <v>19</v>
      </c>
      <c r="B43">
        <v>2</v>
      </c>
      <c r="C43">
        <v>1</v>
      </c>
      <c r="D43">
        <v>2</v>
      </c>
      <c r="E43">
        <v>1</v>
      </c>
      <c r="F43">
        <v>3</v>
      </c>
      <c r="G43">
        <v>3</v>
      </c>
      <c r="H43">
        <v>3</v>
      </c>
      <c r="I43">
        <v>4</v>
      </c>
      <c r="J43">
        <v>5</v>
      </c>
      <c r="K43">
        <v>4</v>
      </c>
      <c r="L43">
        <v>1</v>
      </c>
      <c r="M43">
        <v>1</v>
      </c>
      <c r="N43">
        <v>2</v>
      </c>
    </row>
    <row r="44" spans="1:14" x14ac:dyDescent="0.3">
      <c r="A44">
        <v>19</v>
      </c>
      <c r="B44">
        <v>2</v>
      </c>
      <c r="C44">
        <v>2</v>
      </c>
      <c r="D44">
        <v>2</v>
      </c>
      <c r="E44">
        <v>1</v>
      </c>
      <c r="F44">
        <v>2</v>
      </c>
      <c r="G44">
        <v>5</v>
      </c>
      <c r="H44">
        <v>2</v>
      </c>
      <c r="I44">
        <v>5</v>
      </c>
      <c r="J44">
        <v>1</v>
      </c>
      <c r="K44">
        <v>1</v>
      </c>
      <c r="L44">
        <v>2</v>
      </c>
      <c r="M44">
        <v>2</v>
      </c>
      <c r="N44">
        <v>1</v>
      </c>
    </row>
    <row r="45" spans="1:14" x14ac:dyDescent="0.3">
      <c r="A45">
        <v>18</v>
      </c>
      <c r="B45">
        <v>2</v>
      </c>
      <c r="C45">
        <v>1</v>
      </c>
      <c r="D45">
        <v>1</v>
      </c>
      <c r="E45">
        <v>1</v>
      </c>
      <c r="F45">
        <v>2</v>
      </c>
      <c r="G45">
        <v>5</v>
      </c>
      <c r="H45">
        <v>5</v>
      </c>
      <c r="I45">
        <v>5</v>
      </c>
      <c r="J45">
        <v>3</v>
      </c>
      <c r="K45">
        <v>5</v>
      </c>
      <c r="L45">
        <v>1</v>
      </c>
      <c r="M45">
        <v>1</v>
      </c>
      <c r="N45">
        <v>1</v>
      </c>
    </row>
    <row r="46" spans="1:14" x14ac:dyDescent="0.3">
      <c r="A46">
        <v>19</v>
      </c>
      <c r="B46">
        <v>1</v>
      </c>
      <c r="C46">
        <v>1</v>
      </c>
      <c r="D46">
        <v>2</v>
      </c>
      <c r="E46">
        <v>1</v>
      </c>
      <c r="F46">
        <v>2</v>
      </c>
      <c r="G46">
        <v>1</v>
      </c>
      <c r="H46">
        <v>5</v>
      </c>
      <c r="I46">
        <v>5</v>
      </c>
      <c r="J46">
        <v>3</v>
      </c>
      <c r="K46">
        <v>4</v>
      </c>
      <c r="L46">
        <v>1</v>
      </c>
      <c r="M46">
        <v>1</v>
      </c>
      <c r="N46">
        <v>1</v>
      </c>
    </row>
    <row r="47" spans="1:14" x14ac:dyDescent="0.3">
      <c r="A47">
        <v>19</v>
      </c>
      <c r="B47">
        <v>1</v>
      </c>
      <c r="C47">
        <v>1</v>
      </c>
      <c r="D47">
        <v>2</v>
      </c>
      <c r="E47">
        <v>1</v>
      </c>
      <c r="F47">
        <v>3</v>
      </c>
      <c r="G47">
        <v>5</v>
      </c>
      <c r="H47">
        <v>3</v>
      </c>
      <c r="I47">
        <v>4</v>
      </c>
      <c r="J47">
        <v>4</v>
      </c>
      <c r="K47">
        <v>5</v>
      </c>
      <c r="L47">
        <v>1</v>
      </c>
      <c r="M47">
        <v>2</v>
      </c>
      <c r="N47">
        <v>1</v>
      </c>
    </row>
    <row r="48" spans="1:14" x14ac:dyDescent="0.3">
      <c r="A48">
        <v>18</v>
      </c>
      <c r="B48">
        <v>1</v>
      </c>
      <c r="C48">
        <v>1</v>
      </c>
      <c r="D48">
        <v>2</v>
      </c>
      <c r="E48">
        <v>1</v>
      </c>
      <c r="F48">
        <v>2</v>
      </c>
      <c r="G48">
        <v>2</v>
      </c>
      <c r="H48">
        <v>4</v>
      </c>
      <c r="I48">
        <v>4</v>
      </c>
      <c r="J48">
        <v>5</v>
      </c>
      <c r="K48">
        <v>3</v>
      </c>
      <c r="L48">
        <v>1</v>
      </c>
      <c r="M48">
        <v>1</v>
      </c>
      <c r="N48">
        <v>1</v>
      </c>
    </row>
    <row r="49" spans="1:14" x14ac:dyDescent="0.3">
      <c r="A49">
        <v>18</v>
      </c>
      <c r="B49">
        <v>1</v>
      </c>
      <c r="C49">
        <v>1</v>
      </c>
      <c r="D49">
        <v>2</v>
      </c>
      <c r="E49">
        <v>1</v>
      </c>
      <c r="F49">
        <v>2</v>
      </c>
      <c r="G49">
        <v>2</v>
      </c>
      <c r="H49">
        <v>3</v>
      </c>
      <c r="I49">
        <v>5</v>
      </c>
      <c r="J49">
        <v>3</v>
      </c>
      <c r="K49">
        <v>3</v>
      </c>
      <c r="L49">
        <v>1</v>
      </c>
      <c r="M49">
        <v>1</v>
      </c>
      <c r="N49">
        <v>1</v>
      </c>
    </row>
    <row r="50" spans="1:14" x14ac:dyDescent="0.3">
      <c r="A50">
        <v>19</v>
      </c>
      <c r="B50">
        <v>1</v>
      </c>
      <c r="C50">
        <v>2</v>
      </c>
      <c r="D50">
        <v>2</v>
      </c>
      <c r="E50">
        <v>1</v>
      </c>
      <c r="F50">
        <v>3</v>
      </c>
      <c r="G50">
        <v>3</v>
      </c>
      <c r="H50">
        <v>3</v>
      </c>
      <c r="I50">
        <v>4</v>
      </c>
      <c r="J50">
        <v>2</v>
      </c>
      <c r="K50">
        <v>3</v>
      </c>
      <c r="L50">
        <v>1</v>
      </c>
      <c r="M50">
        <v>1</v>
      </c>
      <c r="N50">
        <v>1</v>
      </c>
    </row>
    <row r="51" spans="1:14" x14ac:dyDescent="0.3">
      <c r="A51">
        <v>21</v>
      </c>
      <c r="B51">
        <v>1</v>
      </c>
      <c r="C51">
        <v>1</v>
      </c>
      <c r="D51">
        <v>2</v>
      </c>
      <c r="E51">
        <v>1</v>
      </c>
      <c r="F51">
        <v>2</v>
      </c>
      <c r="G51">
        <v>2</v>
      </c>
      <c r="H51">
        <v>4</v>
      </c>
      <c r="I51">
        <v>5</v>
      </c>
      <c r="J51">
        <v>2</v>
      </c>
      <c r="K51">
        <v>4</v>
      </c>
      <c r="L51">
        <v>1</v>
      </c>
      <c r="M51">
        <v>1</v>
      </c>
      <c r="N51">
        <v>1</v>
      </c>
    </row>
    <row r="52" spans="1:14" x14ac:dyDescent="0.3">
      <c r="A52">
        <v>18</v>
      </c>
      <c r="B52">
        <v>2</v>
      </c>
      <c r="C52">
        <v>2</v>
      </c>
      <c r="D52">
        <v>2</v>
      </c>
      <c r="E52">
        <v>1</v>
      </c>
      <c r="F52">
        <v>3</v>
      </c>
      <c r="G52">
        <v>2</v>
      </c>
      <c r="H52">
        <v>4</v>
      </c>
      <c r="I52">
        <v>5</v>
      </c>
      <c r="J52">
        <v>5</v>
      </c>
      <c r="K52">
        <v>5</v>
      </c>
      <c r="L52">
        <v>1</v>
      </c>
      <c r="M52">
        <v>1</v>
      </c>
      <c r="N52">
        <v>1</v>
      </c>
    </row>
    <row r="53" spans="1:14" x14ac:dyDescent="0.3">
      <c r="A53">
        <v>19</v>
      </c>
      <c r="B53">
        <v>2</v>
      </c>
      <c r="C53">
        <v>3</v>
      </c>
      <c r="D53">
        <v>1</v>
      </c>
      <c r="E53">
        <v>1</v>
      </c>
      <c r="F53">
        <v>3</v>
      </c>
      <c r="G53">
        <v>1</v>
      </c>
      <c r="H53">
        <v>5</v>
      </c>
      <c r="I53">
        <v>5</v>
      </c>
      <c r="J53">
        <v>5</v>
      </c>
      <c r="K53">
        <v>5</v>
      </c>
      <c r="L53">
        <v>1</v>
      </c>
      <c r="M53">
        <v>1</v>
      </c>
      <c r="N53">
        <v>1</v>
      </c>
    </row>
    <row r="54" spans="1:14" x14ac:dyDescent="0.3">
      <c r="A54">
        <v>19</v>
      </c>
      <c r="B54">
        <v>2</v>
      </c>
      <c r="C54">
        <v>2</v>
      </c>
      <c r="D54">
        <v>2</v>
      </c>
      <c r="E54">
        <v>1</v>
      </c>
      <c r="F54">
        <v>2</v>
      </c>
      <c r="G54">
        <v>2</v>
      </c>
      <c r="H54">
        <v>5</v>
      </c>
      <c r="I54">
        <v>5</v>
      </c>
      <c r="J54">
        <v>5</v>
      </c>
      <c r="K54">
        <v>5</v>
      </c>
      <c r="L54">
        <v>1</v>
      </c>
      <c r="M54">
        <v>1</v>
      </c>
      <c r="N54">
        <v>1</v>
      </c>
    </row>
    <row r="55" spans="1:14" x14ac:dyDescent="0.3">
      <c r="A55">
        <v>19</v>
      </c>
      <c r="B55">
        <v>2</v>
      </c>
      <c r="C55">
        <v>2</v>
      </c>
      <c r="D55">
        <v>2</v>
      </c>
      <c r="E55">
        <v>1</v>
      </c>
      <c r="F55">
        <v>2</v>
      </c>
      <c r="G55">
        <v>1</v>
      </c>
      <c r="H55">
        <v>5</v>
      </c>
      <c r="I55">
        <v>5</v>
      </c>
      <c r="J55">
        <v>5</v>
      </c>
      <c r="K55">
        <v>5</v>
      </c>
      <c r="L55">
        <v>2</v>
      </c>
      <c r="M55">
        <v>1</v>
      </c>
      <c r="N55">
        <v>1</v>
      </c>
    </row>
    <row r="56" spans="1:14" x14ac:dyDescent="0.3">
      <c r="A56">
        <v>21</v>
      </c>
      <c r="B56">
        <v>2</v>
      </c>
      <c r="C56">
        <v>3</v>
      </c>
      <c r="D56">
        <v>1</v>
      </c>
      <c r="E56">
        <v>1</v>
      </c>
      <c r="F56">
        <v>3</v>
      </c>
      <c r="G56">
        <v>2</v>
      </c>
      <c r="H56">
        <v>4</v>
      </c>
      <c r="I56">
        <v>4</v>
      </c>
      <c r="J56">
        <v>4</v>
      </c>
      <c r="K56">
        <v>4</v>
      </c>
      <c r="L56">
        <v>1</v>
      </c>
      <c r="M56">
        <v>1</v>
      </c>
      <c r="N56">
        <v>1</v>
      </c>
    </row>
    <row r="62" spans="1:14" x14ac:dyDescent="0.3">
      <c r="A62" t="s">
        <v>133</v>
      </c>
    </row>
    <row r="63" spans="1:14" x14ac:dyDescent="0.3">
      <c r="A63" t="s">
        <v>134</v>
      </c>
    </row>
    <row r="67" spans="1:1" x14ac:dyDescent="0.3">
      <c r="A67" t="s">
        <v>146</v>
      </c>
    </row>
    <row r="68" spans="1:1" x14ac:dyDescent="0.3">
      <c r="A68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"/>
  <sheetViews>
    <sheetView topLeftCell="A9" workbookViewId="0">
      <selection activeCell="G32" sqref="G32"/>
    </sheetView>
  </sheetViews>
  <sheetFormatPr defaultRowHeight="14.4" x14ac:dyDescent="0.3"/>
  <sheetData>
    <row r="1" spans="1:5" x14ac:dyDescent="0.3">
      <c r="A1" t="s">
        <v>63</v>
      </c>
      <c r="B1" t="s">
        <v>61</v>
      </c>
    </row>
    <row r="2" spans="1:5" x14ac:dyDescent="0.3">
      <c r="A2">
        <v>3</v>
      </c>
      <c r="B2">
        <v>1</v>
      </c>
    </row>
    <row r="3" spans="1:5" x14ac:dyDescent="0.3">
      <c r="A3">
        <v>2</v>
      </c>
      <c r="B3">
        <v>1</v>
      </c>
    </row>
    <row r="4" spans="1:5" x14ac:dyDescent="0.3">
      <c r="A4">
        <v>2</v>
      </c>
      <c r="B4">
        <v>1</v>
      </c>
    </row>
    <row r="5" spans="1:5" x14ac:dyDescent="0.3">
      <c r="A5">
        <v>2</v>
      </c>
      <c r="B5">
        <v>1</v>
      </c>
    </row>
    <row r="6" spans="1:5" x14ac:dyDescent="0.3">
      <c r="A6">
        <v>3</v>
      </c>
      <c r="B6">
        <v>1</v>
      </c>
    </row>
    <row r="7" spans="1:5" x14ac:dyDescent="0.3">
      <c r="A7">
        <v>3</v>
      </c>
      <c r="B7">
        <v>1</v>
      </c>
    </row>
    <row r="8" spans="1:5" x14ac:dyDescent="0.3">
      <c r="A8">
        <v>3</v>
      </c>
      <c r="B8">
        <v>1</v>
      </c>
    </row>
    <row r="9" spans="1:5" x14ac:dyDescent="0.3">
      <c r="A9">
        <v>3</v>
      </c>
      <c r="B9">
        <v>1</v>
      </c>
    </row>
    <row r="10" spans="1:5" x14ac:dyDescent="0.3">
      <c r="A10">
        <v>3</v>
      </c>
      <c r="B10">
        <v>2</v>
      </c>
      <c r="D10" t="s">
        <v>148</v>
      </c>
    </row>
    <row r="11" spans="1:5" ht="15" thickBot="1" x14ac:dyDescent="0.35">
      <c r="A11">
        <v>3</v>
      </c>
      <c r="B11">
        <v>2</v>
      </c>
    </row>
    <row r="12" spans="1:5" x14ac:dyDescent="0.3">
      <c r="A12">
        <v>3</v>
      </c>
      <c r="B12">
        <v>2</v>
      </c>
      <c r="D12" s="4" t="s">
        <v>149</v>
      </c>
      <c r="E12" s="4"/>
    </row>
    <row r="13" spans="1:5" x14ac:dyDescent="0.3">
      <c r="A13">
        <v>3</v>
      </c>
      <c r="B13">
        <v>1</v>
      </c>
      <c r="D13" t="s">
        <v>150</v>
      </c>
      <c r="E13">
        <v>7.4829036534024312E-2</v>
      </c>
    </row>
    <row r="14" spans="1:5" x14ac:dyDescent="0.3">
      <c r="A14">
        <v>3</v>
      </c>
      <c r="B14">
        <v>2</v>
      </c>
      <c r="D14" t="s">
        <v>151</v>
      </c>
      <c r="E14">
        <v>5.5993847086103455E-3</v>
      </c>
    </row>
    <row r="15" spans="1:5" x14ac:dyDescent="0.3">
      <c r="A15">
        <v>2</v>
      </c>
      <c r="B15">
        <v>1</v>
      </c>
      <c r="D15" t="s">
        <v>152</v>
      </c>
      <c r="E15">
        <v>-1.3162891051604552E-2</v>
      </c>
    </row>
    <row r="16" spans="1:5" x14ac:dyDescent="0.3">
      <c r="A16">
        <v>3</v>
      </c>
      <c r="B16">
        <v>1</v>
      </c>
      <c r="D16" t="s">
        <v>153</v>
      </c>
      <c r="E16">
        <v>0.63874424828176468</v>
      </c>
    </row>
    <row r="17" spans="1:12" ht="15" thickBot="1" x14ac:dyDescent="0.35">
      <c r="A17">
        <v>2</v>
      </c>
      <c r="B17">
        <v>2</v>
      </c>
      <c r="D17" s="2" t="s">
        <v>154</v>
      </c>
      <c r="E17" s="2">
        <v>55</v>
      </c>
    </row>
    <row r="18" spans="1:12" x14ac:dyDescent="0.3">
      <c r="A18">
        <v>3</v>
      </c>
      <c r="B18">
        <v>1</v>
      </c>
    </row>
    <row r="19" spans="1:12" ht="15" thickBot="1" x14ac:dyDescent="0.35">
      <c r="A19">
        <v>3</v>
      </c>
      <c r="B19">
        <v>1</v>
      </c>
      <c r="D19" t="s">
        <v>155</v>
      </c>
    </row>
    <row r="20" spans="1:12" x14ac:dyDescent="0.3">
      <c r="A20">
        <v>3</v>
      </c>
      <c r="B20">
        <v>1</v>
      </c>
      <c r="D20" s="3"/>
      <c r="E20" s="3" t="s">
        <v>160</v>
      </c>
      <c r="F20" s="3" t="s">
        <v>161</v>
      </c>
      <c r="G20" s="3" t="s">
        <v>162</v>
      </c>
      <c r="H20" s="3" t="s">
        <v>163</v>
      </c>
      <c r="I20" s="3" t="s">
        <v>164</v>
      </c>
    </row>
    <row r="21" spans="1:12" x14ac:dyDescent="0.3">
      <c r="A21">
        <v>1</v>
      </c>
      <c r="B21">
        <v>2</v>
      </c>
      <c r="D21" t="s">
        <v>156</v>
      </c>
      <c r="E21">
        <v>1</v>
      </c>
      <c r="F21">
        <v>0.12176116566359951</v>
      </c>
      <c r="G21">
        <v>0.12176116566359951</v>
      </c>
      <c r="H21">
        <v>0.29843846131308599</v>
      </c>
      <c r="I21">
        <v>0.58715549192370853</v>
      </c>
    </row>
    <row r="22" spans="1:12" x14ac:dyDescent="0.3">
      <c r="A22">
        <v>3</v>
      </c>
      <c r="B22">
        <v>1</v>
      </c>
      <c r="D22" t="s">
        <v>157</v>
      </c>
      <c r="E22">
        <v>53</v>
      </c>
      <c r="F22">
        <v>21.623693379790947</v>
      </c>
      <c r="G22">
        <v>0.40799421471303671</v>
      </c>
    </row>
    <row r="23" spans="1:12" ht="15" thickBot="1" x14ac:dyDescent="0.35">
      <c r="A23">
        <v>2</v>
      </c>
      <c r="B23">
        <v>2</v>
      </c>
      <c r="D23" s="2" t="s">
        <v>158</v>
      </c>
      <c r="E23" s="2">
        <v>54</v>
      </c>
      <c r="F23" s="2">
        <v>21.745454545454546</v>
      </c>
      <c r="G23" s="2"/>
      <c r="H23" s="2"/>
      <c r="I23" s="2"/>
    </row>
    <row r="24" spans="1:12" ht="15" thickBot="1" x14ac:dyDescent="0.35">
      <c r="A24">
        <v>3</v>
      </c>
      <c r="B24">
        <v>1</v>
      </c>
    </row>
    <row r="25" spans="1:12" x14ac:dyDescent="0.3">
      <c r="A25">
        <v>2</v>
      </c>
      <c r="B25">
        <v>1</v>
      </c>
      <c r="D25" s="3"/>
      <c r="E25" s="3" t="s">
        <v>165</v>
      </c>
      <c r="F25" s="3" t="s">
        <v>153</v>
      </c>
      <c r="G25" s="3" t="s">
        <v>166</v>
      </c>
      <c r="H25" s="3" t="s">
        <v>167</v>
      </c>
      <c r="I25" s="3" t="s">
        <v>168</v>
      </c>
      <c r="J25" s="3" t="s">
        <v>169</v>
      </c>
      <c r="K25" s="3" t="s">
        <v>170</v>
      </c>
      <c r="L25" s="3" t="s">
        <v>171</v>
      </c>
    </row>
    <row r="26" spans="1:12" x14ac:dyDescent="0.3">
      <c r="A26">
        <v>2</v>
      </c>
      <c r="B26">
        <v>1</v>
      </c>
      <c r="D26" t="s">
        <v>159</v>
      </c>
      <c r="E26">
        <v>2.6445993031358883</v>
      </c>
      <c r="F26">
        <v>0.26257714588024267</v>
      </c>
      <c r="G26">
        <v>10.071704048234452</v>
      </c>
      <c r="H26">
        <v>6.5497976818595607E-14</v>
      </c>
      <c r="I26">
        <v>2.1179362443245955</v>
      </c>
      <c r="J26">
        <v>3.1712623619471811</v>
      </c>
      <c r="K26">
        <v>2.1179362443245955</v>
      </c>
      <c r="L26">
        <v>3.1712623619471811</v>
      </c>
    </row>
    <row r="27" spans="1:12" ht="15" thickBot="1" x14ac:dyDescent="0.35">
      <c r="A27">
        <v>3</v>
      </c>
      <c r="B27">
        <v>1</v>
      </c>
      <c r="D27" s="2" t="s">
        <v>61</v>
      </c>
      <c r="E27" s="2">
        <v>-0.10801393728222985</v>
      </c>
      <c r="F27" s="2">
        <v>0.19772081912562753</v>
      </c>
      <c r="G27" s="2">
        <v>-0.54629521443364104</v>
      </c>
      <c r="H27" s="6">
        <v>0.5871554919237012</v>
      </c>
      <c r="I27" s="2">
        <v>-0.50459167843442609</v>
      </c>
      <c r="J27" s="2">
        <v>0.28856380386996638</v>
      </c>
      <c r="K27" s="2">
        <v>-0.50459167843442609</v>
      </c>
      <c r="L27" s="2">
        <v>0.28856380386996638</v>
      </c>
    </row>
    <row r="28" spans="1:12" x14ac:dyDescent="0.3">
      <c r="A28">
        <v>3</v>
      </c>
      <c r="B28">
        <v>1</v>
      </c>
    </row>
    <row r="29" spans="1:12" x14ac:dyDescent="0.3">
      <c r="A29">
        <v>1</v>
      </c>
      <c r="B29">
        <v>1</v>
      </c>
    </row>
    <row r="30" spans="1:12" x14ac:dyDescent="0.3">
      <c r="A30">
        <v>2</v>
      </c>
      <c r="B30">
        <v>1</v>
      </c>
    </row>
    <row r="31" spans="1:12" x14ac:dyDescent="0.3">
      <c r="A31">
        <v>1</v>
      </c>
      <c r="B31">
        <v>2</v>
      </c>
    </row>
    <row r="32" spans="1:12" x14ac:dyDescent="0.3">
      <c r="A32">
        <v>3</v>
      </c>
      <c r="B32">
        <v>1</v>
      </c>
    </row>
    <row r="33" spans="1:2" x14ac:dyDescent="0.3">
      <c r="A33">
        <v>3</v>
      </c>
      <c r="B33">
        <v>2</v>
      </c>
    </row>
    <row r="34" spans="1:2" x14ac:dyDescent="0.3">
      <c r="A34">
        <v>3</v>
      </c>
      <c r="B34">
        <v>2</v>
      </c>
    </row>
    <row r="35" spans="1:2" x14ac:dyDescent="0.3">
      <c r="A35">
        <v>2</v>
      </c>
      <c r="B35">
        <v>1</v>
      </c>
    </row>
    <row r="36" spans="1:2" x14ac:dyDescent="0.3">
      <c r="A36">
        <v>3</v>
      </c>
      <c r="B36">
        <v>2</v>
      </c>
    </row>
    <row r="37" spans="1:2" x14ac:dyDescent="0.3">
      <c r="A37">
        <v>1</v>
      </c>
      <c r="B37">
        <v>2</v>
      </c>
    </row>
    <row r="38" spans="1:2" x14ac:dyDescent="0.3">
      <c r="A38">
        <v>3</v>
      </c>
      <c r="B38">
        <v>1</v>
      </c>
    </row>
    <row r="39" spans="1:2" x14ac:dyDescent="0.3">
      <c r="A39">
        <v>3</v>
      </c>
      <c r="B39">
        <v>2</v>
      </c>
    </row>
    <row r="40" spans="1:2" x14ac:dyDescent="0.3">
      <c r="A40">
        <v>3</v>
      </c>
      <c r="B40">
        <v>1</v>
      </c>
    </row>
    <row r="41" spans="1:2" x14ac:dyDescent="0.3">
      <c r="A41">
        <v>2</v>
      </c>
      <c r="B41">
        <v>1</v>
      </c>
    </row>
    <row r="42" spans="1:2" x14ac:dyDescent="0.3">
      <c r="A42">
        <v>3</v>
      </c>
      <c r="B42">
        <v>1</v>
      </c>
    </row>
    <row r="43" spans="1:2" x14ac:dyDescent="0.3">
      <c r="A43">
        <v>3</v>
      </c>
      <c r="B43">
        <v>2</v>
      </c>
    </row>
    <row r="44" spans="1:2" x14ac:dyDescent="0.3">
      <c r="A44">
        <v>2</v>
      </c>
      <c r="B44">
        <v>1</v>
      </c>
    </row>
    <row r="45" spans="1:2" x14ac:dyDescent="0.3">
      <c r="A45">
        <v>2</v>
      </c>
      <c r="B45">
        <v>1</v>
      </c>
    </row>
    <row r="46" spans="1:2" x14ac:dyDescent="0.3">
      <c r="A46">
        <v>2</v>
      </c>
      <c r="B46">
        <v>1</v>
      </c>
    </row>
    <row r="47" spans="1:2" x14ac:dyDescent="0.3">
      <c r="A47">
        <v>3</v>
      </c>
      <c r="B47">
        <v>1</v>
      </c>
    </row>
    <row r="48" spans="1:2" x14ac:dyDescent="0.3">
      <c r="A48">
        <v>2</v>
      </c>
      <c r="B48">
        <v>1</v>
      </c>
    </row>
    <row r="49" spans="1:2" x14ac:dyDescent="0.3">
      <c r="A49">
        <v>2</v>
      </c>
      <c r="B49">
        <v>1</v>
      </c>
    </row>
    <row r="50" spans="1:2" x14ac:dyDescent="0.3">
      <c r="A50">
        <v>3</v>
      </c>
      <c r="B50">
        <v>1</v>
      </c>
    </row>
    <row r="51" spans="1:2" x14ac:dyDescent="0.3">
      <c r="A51">
        <v>2</v>
      </c>
      <c r="B51">
        <v>1</v>
      </c>
    </row>
    <row r="52" spans="1:2" x14ac:dyDescent="0.3">
      <c r="A52">
        <v>3</v>
      </c>
      <c r="B52">
        <v>1</v>
      </c>
    </row>
    <row r="53" spans="1:2" x14ac:dyDescent="0.3">
      <c r="A53">
        <v>3</v>
      </c>
      <c r="B53">
        <v>1</v>
      </c>
    </row>
    <row r="54" spans="1:2" x14ac:dyDescent="0.3">
      <c r="A54">
        <v>2</v>
      </c>
      <c r="B54">
        <v>1</v>
      </c>
    </row>
    <row r="55" spans="1:2" x14ac:dyDescent="0.3">
      <c r="A55">
        <v>2</v>
      </c>
      <c r="B55">
        <v>1</v>
      </c>
    </row>
    <row r="56" spans="1:2" x14ac:dyDescent="0.3">
      <c r="A56">
        <v>3</v>
      </c>
      <c r="B5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tabSelected="1" workbookViewId="0">
      <selection activeCell="A56" sqref="A56"/>
    </sheetView>
  </sheetViews>
  <sheetFormatPr defaultRowHeight="14.4" x14ac:dyDescent="0.3"/>
  <sheetData>
    <row r="1" spans="1:18" x14ac:dyDescent="0.3">
      <c r="A1" t="s">
        <v>62</v>
      </c>
      <c r="B1" t="s">
        <v>61</v>
      </c>
    </row>
    <row r="2" spans="1:18" x14ac:dyDescent="0.3">
      <c r="A2">
        <v>1</v>
      </c>
      <c r="B2">
        <v>1</v>
      </c>
    </row>
    <row r="3" spans="1:18" x14ac:dyDescent="0.3">
      <c r="A3">
        <v>1</v>
      </c>
      <c r="B3">
        <v>1</v>
      </c>
    </row>
    <row r="4" spans="1:18" ht="15" thickBot="1" x14ac:dyDescent="0.35">
      <c r="A4">
        <v>1</v>
      </c>
      <c r="B4">
        <v>1</v>
      </c>
    </row>
    <row r="5" spans="1:18" x14ac:dyDescent="0.3">
      <c r="A5">
        <v>1</v>
      </c>
      <c r="B5">
        <v>1</v>
      </c>
      <c r="P5" s="3"/>
      <c r="Q5" s="3">
        <v>1</v>
      </c>
      <c r="R5" s="3">
        <v>1</v>
      </c>
    </row>
    <row r="6" spans="1:18" x14ac:dyDescent="0.3">
      <c r="A6">
        <v>1</v>
      </c>
      <c r="B6">
        <v>1</v>
      </c>
      <c r="D6">
        <f>CORREL(A2:A56,B2:B56)</f>
        <v>-7.9519787268949607E-2</v>
      </c>
      <c r="P6">
        <v>1</v>
      </c>
      <c r="Q6">
        <v>1</v>
      </c>
    </row>
    <row r="7" spans="1:18" ht="15" thickBot="1" x14ac:dyDescent="0.35">
      <c r="A7">
        <v>1</v>
      </c>
      <c r="B7">
        <v>1</v>
      </c>
      <c r="P7" s="2">
        <v>1</v>
      </c>
      <c r="Q7" s="2" t="e">
        <v>#DIV/0!</v>
      </c>
      <c r="R7" s="2">
        <v>1</v>
      </c>
    </row>
    <row r="8" spans="1:18" x14ac:dyDescent="0.3">
      <c r="A8">
        <v>1</v>
      </c>
      <c r="B8">
        <v>1</v>
      </c>
    </row>
    <row r="9" spans="1:18" x14ac:dyDescent="0.3">
      <c r="A9">
        <v>1</v>
      </c>
      <c r="B9">
        <v>1</v>
      </c>
    </row>
    <row r="10" spans="1:18" x14ac:dyDescent="0.3">
      <c r="A10">
        <v>1</v>
      </c>
      <c r="B10">
        <v>2</v>
      </c>
    </row>
    <row r="11" spans="1:18" x14ac:dyDescent="0.3">
      <c r="A11">
        <v>1</v>
      </c>
      <c r="B11">
        <v>2</v>
      </c>
    </row>
    <row r="12" spans="1:18" x14ac:dyDescent="0.3">
      <c r="A12">
        <v>1</v>
      </c>
      <c r="B12">
        <v>2</v>
      </c>
      <c r="D12" t="s">
        <v>148</v>
      </c>
    </row>
    <row r="13" spans="1:18" ht="15" thickBot="1" x14ac:dyDescent="0.35">
      <c r="A13">
        <v>1</v>
      </c>
      <c r="B13">
        <v>1</v>
      </c>
    </row>
    <row r="14" spans="1:18" x14ac:dyDescent="0.3">
      <c r="A14">
        <v>1</v>
      </c>
      <c r="B14">
        <v>2</v>
      </c>
      <c r="D14" s="4" t="s">
        <v>149</v>
      </c>
      <c r="E14" s="4"/>
    </row>
    <row r="15" spans="1:18" x14ac:dyDescent="0.3">
      <c r="A15">
        <v>1</v>
      </c>
      <c r="B15">
        <v>1</v>
      </c>
      <c r="D15" t="s">
        <v>150</v>
      </c>
      <c r="E15">
        <v>7.9519787268949746E-2</v>
      </c>
    </row>
    <row r="16" spans="1:18" x14ac:dyDescent="0.3">
      <c r="A16">
        <v>1</v>
      </c>
      <c r="B16">
        <v>1</v>
      </c>
      <c r="D16" t="s">
        <v>151</v>
      </c>
      <c r="E16">
        <v>6.3233965672990222E-3</v>
      </c>
    </row>
    <row r="17" spans="1:12" x14ac:dyDescent="0.3">
      <c r="A17">
        <v>1</v>
      </c>
      <c r="B17">
        <v>2</v>
      </c>
      <c r="D17" t="s">
        <v>152</v>
      </c>
      <c r="E17">
        <v>-1.2425218591808543E-2</v>
      </c>
    </row>
    <row r="18" spans="1:12" x14ac:dyDescent="0.3">
      <c r="A18">
        <v>1</v>
      </c>
      <c r="B18">
        <v>1</v>
      </c>
      <c r="D18" t="s">
        <v>153</v>
      </c>
      <c r="E18">
        <v>0.13567509442459877</v>
      </c>
    </row>
    <row r="19" spans="1:12" ht="15" thickBot="1" x14ac:dyDescent="0.35">
      <c r="A19">
        <v>1</v>
      </c>
      <c r="B19">
        <v>1</v>
      </c>
      <c r="D19" s="2" t="s">
        <v>154</v>
      </c>
      <c r="E19" s="2">
        <v>55</v>
      </c>
    </row>
    <row r="20" spans="1:12" x14ac:dyDescent="0.3">
      <c r="A20">
        <v>1</v>
      </c>
      <c r="B20">
        <v>1</v>
      </c>
    </row>
    <row r="21" spans="1:12" ht="15" thickBot="1" x14ac:dyDescent="0.35">
      <c r="A21">
        <v>1</v>
      </c>
      <c r="B21">
        <v>2</v>
      </c>
      <c r="D21" t="s">
        <v>155</v>
      </c>
    </row>
    <row r="22" spans="1:12" x14ac:dyDescent="0.3">
      <c r="A22">
        <v>1</v>
      </c>
      <c r="B22">
        <v>1</v>
      </c>
      <c r="D22" s="3"/>
      <c r="E22" s="3" t="s">
        <v>160</v>
      </c>
      <c r="F22" s="3" t="s">
        <v>161</v>
      </c>
      <c r="G22" s="3" t="s">
        <v>162</v>
      </c>
      <c r="H22" s="3" t="s">
        <v>163</v>
      </c>
      <c r="I22" s="3" t="s">
        <v>164</v>
      </c>
    </row>
    <row r="23" spans="1:12" x14ac:dyDescent="0.3">
      <c r="A23">
        <v>1</v>
      </c>
      <c r="B23">
        <v>2</v>
      </c>
      <c r="D23" t="s">
        <v>156</v>
      </c>
      <c r="E23">
        <v>1</v>
      </c>
      <c r="F23">
        <v>6.2084257206208582E-3</v>
      </c>
      <c r="G23">
        <v>6.2084257206208582E-3</v>
      </c>
      <c r="H23">
        <v>0.33727272727272817</v>
      </c>
      <c r="I23">
        <v>0.56386912577033299</v>
      </c>
    </row>
    <row r="24" spans="1:12" x14ac:dyDescent="0.3">
      <c r="A24">
        <v>1</v>
      </c>
      <c r="B24">
        <v>1</v>
      </c>
      <c r="D24" t="s">
        <v>157</v>
      </c>
      <c r="E24">
        <v>53</v>
      </c>
      <c r="F24">
        <v>0.97560975609756095</v>
      </c>
      <c r="G24">
        <v>1.840773124712379E-2</v>
      </c>
    </row>
    <row r="25" spans="1:12" ht="15" thickBot="1" x14ac:dyDescent="0.35">
      <c r="A25">
        <v>1</v>
      </c>
      <c r="B25">
        <v>1</v>
      </c>
      <c r="D25" s="2" t="s">
        <v>158</v>
      </c>
      <c r="E25" s="2">
        <v>54</v>
      </c>
      <c r="F25" s="2">
        <v>0.98181818181818181</v>
      </c>
      <c r="G25" s="2"/>
      <c r="H25" s="2"/>
      <c r="I25" s="2"/>
    </row>
    <row r="26" spans="1:12" ht="15" thickBot="1" x14ac:dyDescent="0.35">
      <c r="A26">
        <v>1</v>
      </c>
      <c r="B26">
        <v>1</v>
      </c>
    </row>
    <row r="27" spans="1:12" x14ac:dyDescent="0.3">
      <c r="A27">
        <v>1</v>
      </c>
      <c r="B27">
        <v>1</v>
      </c>
      <c r="D27" s="3"/>
      <c r="E27" s="3" t="s">
        <v>165</v>
      </c>
      <c r="F27" s="3" t="s">
        <v>153</v>
      </c>
      <c r="G27" s="3" t="s">
        <v>166</v>
      </c>
      <c r="H27" s="3" t="s">
        <v>167</v>
      </c>
      <c r="I27" s="3" t="s">
        <v>168</v>
      </c>
      <c r="J27" s="3" t="s">
        <v>169</v>
      </c>
      <c r="K27" s="3" t="s">
        <v>170</v>
      </c>
      <c r="L27" s="3" t="s">
        <v>171</v>
      </c>
    </row>
    <row r="28" spans="1:12" x14ac:dyDescent="0.3">
      <c r="A28">
        <v>1</v>
      </c>
      <c r="B28">
        <v>1</v>
      </c>
      <c r="D28" t="s">
        <v>159</v>
      </c>
      <c r="E28">
        <v>1.0487804878048779</v>
      </c>
      <c r="F28">
        <v>5.577377668272715E-2</v>
      </c>
      <c r="G28">
        <v>18.804186307320297</v>
      </c>
      <c r="H28">
        <v>4.1433689392647002E-25</v>
      </c>
      <c r="I28">
        <v>0.9369124585797447</v>
      </c>
      <c r="J28">
        <v>1.1606485170300109</v>
      </c>
      <c r="K28">
        <v>0.9369124585797447</v>
      </c>
      <c r="L28">
        <v>1.1606485170300109</v>
      </c>
    </row>
    <row r="29" spans="1:12" ht="15" thickBot="1" x14ac:dyDescent="0.35">
      <c r="A29">
        <v>1</v>
      </c>
      <c r="B29">
        <v>1</v>
      </c>
      <c r="D29" s="2" t="s">
        <v>61</v>
      </c>
      <c r="E29" s="2">
        <v>-2.4390243902439039E-2</v>
      </c>
      <c r="F29" s="2">
        <v>4.1997702330377862E-2</v>
      </c>
      <c r="G29" s="2">
        <v>-0.58075186377034349</v>
      </c>
      <c r="H29" s="2">
        <v>0.56386912577033321</v>
      </c>
      <c r="I29" s="2">
        <v>-0.10862696716414638</v>
      </c>
      <c r="J29" s="2">
        <v>5.9846479359268311E-2</v>
      </c>
      <c r="K29" s="2">
        <v>-0.10862696716414638</v>
      </c>
      <c r="L29" s="2">
        <v>5.9846479359268311E-2</v>
      </c>
    </row>
    <row r="30" spans="1:12" x14ac:dyDescent="0.3">
      <c r="A30">
        <v>1</v>
      </c>
      <c r="B30">
        <v>1</v>
      </c>
    </row>
    <row r="31" spans="1:12" x14ac:dyDescent="0.3">
      <c r="A31">
        <v>1</v>
      </c>
      <c r="B31">
        <v>2</v>
      </c>
    </row>
    <row r="32" spans="1:12" x14ac:dyDescent="0.3">
      <c r="A32">
        <v>1</v>
      </c>
      <c r="B32">
        <v>1</v>
      </c>
    </row>
    <row r="33" spans="1:2" x14ac:dyDescent="0.3">
      <c r="A33">
        <v>1</v>
      </c>
      <c r="B33">
        <v>2</v>
      </c>
    </row>
    <row r="34" spans="1:2" x14ac:dyDescent="0.3">
      <c r="A34">
        <v>1</v>
      </c>
      <c r="B34">
        <v>2</v>
      </c>
    </row>
    <row r="35" spans="1:2" x14ac:dyDescent="0.3">
      <c r="A35">
        <v>1</v>
      </c>
      <c r="B35">
        <v>1</v>
      </c>
    </row>
    <row r="36" spans="1:2" x14ac:dyDescent="0.3">
      <c r="A36">
        <v>1</v>
      </c>
      <c r="B36">
        <v>2</v>
      </c>
    </row>
    <row r="37" spans="1:2" x14ac:dyDescent="0.3">
      <c r="A37">
        <v>1</v>
      </c>
      <c r="B37">
        <v>2</v>
      </c>
    </row>
    <row r="38" spans="1:2" x14ac:dyDescent="0.3">
      <c r="A38">
        <v>1</v>
      </c>
      <c r="B38">
        <v>1</v>
      </c>
    </row>
    <row r="39" spans="1:2" x14ac:dyDescent="0.3">
      <c r="A39">
        <v>1</v>
      </c>
      <c r="B39">
        <v>2</v>
      </c>
    </row>
    <row r="40" spans="1:2" x14ac:dyDescent="0.3">
      <c r="A40">
        <v>1</v>
      </c>
      <c r="B40">
        <v>1</v>
      </c>
    </row>
    <row r="41" spans="1:2" x14ac:dyDescent="0.3">
      <c r="A41">
        <v>1</v>
      </c>
      <c r="B41">
        <v>1</v>
      </c>
    </row>
    <row r="42" spans="1:2" x14ac:dyDescent="0.3">
      <c r="A42">
        <v>1</v>
      </c>
      <c r="B42">
        <v>1</v>
      </c>
    </row>
    <row r="43" spans="1:2" x14ac:dyDescent="0.3">
      <c r="A43">
        <v>1</v>
      </c>
      <c r="B43">
        <v>2</v>
      </c>
    </row>
    <row r="44" spans="1:2" x14ac:dyDescent="0.3">
      <c r="A44">
        <v>1</v>
      </c>
      <c r="B44">
        <v>1</v>
      </c>
    </row>
    <row r="45" spans="1:2" x14ac:dyDescent="0.3">
      <c r="A45">
        <v>1</v>
      </c>
      <c r="B45">
        <v>1</v>
      </c>
    </row>
    <row r="46" spans="1:2" x14ac:dyDescent="0.3">
      <c r="A46">
        <v>1</v>
      </c>
      <c r="B46">
        <v>1</v>
      </c>
    </row>
    <row r="47" spans="1:2" x14ac:dyDescent="0.3">
      <c r="A47">
        <v>1</v>
      </c>
      <c r="B47">
        <v>1</v>
      </c>
    </row>
    <row r="48" spans="1:2" x14ac:dyDescent="0.3">
      <c r="A48">
        <v>1</v>
      </c>
      <c r="B48">
        <v>1</v>
      </c>
    </row>
    <row r="49" spans="1:2" x14ac:dyDescent="0.3">
      <c r="A49">
        <v>1</v>
      </c>
      <c r="B49">
        <v>1</v>
      </c>
    </row>
    <row r="50" spans="1:2" x14ac:dyDescent="0.3">
      <c r="A50">
        <v>1</v>
      </c>
      <c r="B50">
        <v>1</v>
      </c>
    </row>
    <row r="51" spans="1:2" x14ac:dyDescent="0.3">
      <c r="A51">
        <v>1</v>
      </c>
      <c r="B51">
        <v>1</v>
      </c>
    </row>
    <row r="52" spans="1:2" x14ac:dyDescent="0.3">
      <c r="A52">
        <v>1</v>
      </c>
      <c r="B52">
        <v>1</v>
      </c>
    </row>
    <row r="53" spans="1:2" x14ac:dyDescent="0.3">
      <c r="A53">
        <v>1</v>
      </c>
      <c r="B53">
        <v>1</v>
      </c>
    </row>
    <row r="54" spans="1:2" x14ac:dyDescent="0.3">
      <c r="A54">
        <v>1</v>
      </c>
      <c r="B54">
        <v>1</v>
      </c>
    </row>
    <row r="55" spans="1:2" x14ac:dyDescent="0.3">
      <c r="A55">
        <v>1</v>
      </c>
      <c r="B55">
        <v>1</v>
      </c>
    </row>
    <row r="56" spans="1:2" x14ac:dyDescent="0.3">
      <c r="A56">
        <v>2</v>
      </c>
      <c r="B5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6"/>
  <sheetViews>
    <sheetView topLeftCell="A6" workbookViewId="0">
      <selection activeCell="M17" sqref="M17"/>
    </sheetView>
  </sheetViews>
  <sheetFormatPr defaultRowHeight="14.4" x14ac:dyDescent="0.3"/>
  <sheetData>
    <row r="1" spans="1:5" x14ac:dyDescent="0.3">
      <c r="A1" t="s">
        <v>60</v>
      </c>
      <c r="B1" t="s">
        <v>61</v>
      </c>
    </row>
    <row r="2" spans="1:5" x14ac:dyDescent="0.3">
      <c r="A2">
        <v>2</v>
      </c>
      <c r="B2">
        <v>1</v>
      </c>
    </row>
    <row r="3" spans="1:5" x14ac:dyDescent="0.3">
      <c r="A3">
        <v>2</v>
      </c>
      <c r="B3">
        <v>1</v>
      </c>
    </row>
    <row r="4" spans="1:5" x14ac:dyDescent="0.3">
      <c r="A4">
        <v>2</v>
      </c>
      <c r="B4">
        <v>1</v>
      </c>
    </row>
    <row r="5" spans="1:5" x14ac:dyDescent="0.3">
      <c r="A5">
        <v>1</v>
      </c>
      <c r="B5">
        <v>1</v>
      </c>
    </row>
    <row r="6" spans="1:5" x14ac:dyDescent="0.3">
      <c r="A6">
        <v>2</v>
      </c>
      <c r="B6">
        <v>1</v>
      </c>
    </row>
    <row r="7" spans="1:5" x14ac:dyDescent="0.3">
      <c r="A7">
        <v>2</v>
      </c>
      <c r="B7">
        <v>1</v>
      </c>
    </row>
    <row r="8" spans="1:5" x14ac:dyDescent="0.3">
      <c r="A8">
        <v>2</v>
      </c>
      <c r="B8">
        <v>1</v>
      </c>
    </row>
    <row r="9" spans="1:5" x14ac:dyDescent="0.3">
      <c r="A9">
        <v>2</v>
      </c>
      <c r="B9">
        <v>1</v>
      </c>
    </row>
    <row r="10" spans="1:5" x14ac:dyDescent="0.3">
      <c r="A10">
        <v>2</v>
      </c>
      <c r="B10">
        <v>2</v>
      </c>
      <c r="D10" t="s">
        <v>148</v>
      </c>
    </row>
    <row r="11" spans="1:5" ht="15" thickBot="1" x14ac:dyDescent="0.35">
      <c r="A11">
        <v>2</v>
      </c>
      <c r="B11">
        <v>2</v>
      </c>
    </row>
    <row r="12" spans="1:5" x14ac:dyDescent="0.3">
      <c r="A12">
        <v>1</v>
      </c>
      <c r="B12">
        <v>2</v>
      </c>
      <c r="D12" s="4" t="s">
        <v>149</v>
      </c>
      <c r="E12" s="4"/>
    </row>
    <row r="13" spans="1:5" x14ac:dyDescent="0.3">
      <c r="A13">
        <v>1</v>
      </c>
      <c r="B13">
        <v>1</v>
      </c>
      <c r="D13" t="s">
        <v>150</v>
      </c>
      <c r="E13">
        <v>3.7199300654108036E-2</v>
      </c>
    </row>
    <row r="14" spans="1:5" x14ac:dyDescent="0.3">
      <c r="A14">
        <v>2</v>
      </c>
      <c r="B14">
        <v>2</v>
      </c>
      <c r="D14" t="s">
        <v>151</v>
      </c>
      <c r="E14">
        <v>1.3837879691547227E-3</v>
      </c>
    </row>
    <row r="15" spans="1:5" x14ac:dyDescent="0.3">
      <c r="A15">
        <v>2</v>
      </c>
      <c r="B15">
        <v>1</v>
      </c>
      <c r="D15" t="s">
        <v>152</v>
      </c>
      <c r="E15">
        <v>-1.7458027352181982E-2</v>
      </c>
    </row>
    <row r="16" spans="1:5" x14ac:dyDescent="0.3">
      <c r="A16">
        <v>2</v>
      </c>
      <c r="B16">
        <v>1</v>
      </c>
      <c r="D16" t="s">
        <v>153</v>
      </c>
      <c r="E16">
        <v>0.4776580938478569</v>
      </c>
    </row>
    <row r="17" spans="1:12" ht="15" thickBot="1" x14ac:dyDescent="0.35">
      <c r="A17">
        <v>2</v>
      </c>
      <c r="B17">
        <v>2</v>
      </c>
      <c r="D17" s="2" t="s">
        <v>154</v>
      </c>
      <c r="E17" s="2">
        <v>55</v>
      </c>
    </row>
    <row r="18" spans="1:12" x14ac:dyDescent="0.3">
      <c r="A18">
        <v>2</v>
      </c>
      <c r="B18">
        <v>1</v>
      </c>
    </row>
    <row r="19" spans="1:12" ht="15" thickBot="1" x14ac:dyDescent="0.35">
      <c r="A19">
        <v>1</v>
      </c>
      <c r="B19">
        <v>1</v>
      </c>
      <c r="D19" t="s">
        <v>155</v>
      </c>
    </row>
    <row r="20" spans="1:12" x14ac:dyDescent="0.3">
      <c r="A20">
        <v>2</v>
      </c>
      <c r="B20">
        <v>1</v>
      </c>
      <c r="D20" s="3"/>
      <c r="E20" s="3" t="s">
        <v>160</v>
      </c>
      <c r="F20" s="3" t="s">
        <v>161</v>
      </c>
      <c r="G20" s="3" t="s">
        <v>162</v>
      </c>
      <c r="H20" s="3" t="s">
        <v>163</v>
      </c>
      <c r="I20" s="3" t="s">
        <v>164</v>
      </c>
    </row>
    <row r="21" spans="1:12" x14ac:dyDescent="0.3">
      <c r="A21">
        <v>2</v>
      </c>
      <c r="B21">
        <v>2</v>
      </c>
      <c r="D21" t="s">
        <v>156</v>
      </c>
      <c r="E21">
        <v>1</v>
      </c>
      <c r="F21">
        <v>1.6756414317400825E-2</v>
      </c>
      <c r="G21">
        <v>1.6756414317400825E-2</v>
      </c>
      <c r="H21">
        <v>7.3442391062378376E-2</v>
      </c>
      <c r="I21">
        <v>0.78744175157020069</v>
      </c>
    </row>
    <row r="22" spans="1:12" x14ac:dyDescent="0.3">
      <c r="A22">
        <v>1</v>
      </c>
      <c r="B22">
        <v>1</v>
      </c>
      <c r="D22" t="s">
        <v>157</v>
      </c>
      <c r="E22">
        <v>53</v>
      </c>
      <c r="F22">
        <v>12.092334494773509</v>
      </c>
      <c r="G22">
        <v>0.22815725461836808</v>
      </c>
    </row>
    <row r="23" spans="1:12" ht="15" thickBot="1" x14ac:dyDescent="0.35">
      <c r="A23">
        <v>2</v>
      </c>
      <c r="B23">
        <v>2</v>
      </c>
      <c r="D23" s="2" t="s">
        <v>158</v>
      </c>
      <c r="E23" s="2">
        <v>54</v>
      </c>
      <c r="F23" s="2">
        <v>12.109090909090909</v>
      </c>
      <c r="G23" s="2"/>
      <c r="H23" s="2"/>
      <c r="I23" s="2"/>
    </row>
    <row r="24" spans="1:12" ht="15" thickBot="1" x14ac:dyDescent="0.35">
      <c r="A24">
        <v>2</v>
      </c>
      <c r="B24">
        <v>1</v>
      </c>
    </row>
    <row r="25" spans="1:12" x14ac:dyDescent="0.3">
      <c r="A25">
        <v>1</v>
      </c>
      <c r="B25">
        <v>1</v>
      </c>
      <c r="D25" s="3"/>
      <c r="E25" s="3" t="s">
        <v>165</v>
      </c>
      <c r="F25" s="3" t="s">
        <v>153</v>
      </c>
      <c r="G25" s="3" t="s">
        <v>166</v>
      </c>
      <c r="H25" s="3" t="s">
        <v>167</v>
      </c>
      <c r="I25" s="3" t="s">
        <v>168</v>
      </c>
      <c r="J25" s="3" t="s">
        <v>169</v>
      </c>
      <c r="K25" s="3" t="s">
        <v>170</v>
      </c>
      <c r="L25" s="3" t="s">
        <v>171</v>
      </c>
    </row>
    <row r="26" spans="1:12" x14ac:dyDescent="0.3">
      <c r="A26">
        <v>1</v>
      </c>
      <c r="B26">
        <v>1</v>
      </c>
      <c r="D26" t="s">
        <v>159</v>
      </c>
      <c r="E26">
        <v>1.7229965156794422</v>
      </c>
      <c r="F26">
        <v>0.19635730470615653</v>
      </c>
      <c r="G26">
        <v>8.7748022323786756</v>
      </c>
      <c r="H26">
        <v>6.6109809060748551E-12</v>
      </c>
      <c r="I26">
        <v>1.3291536381136582</v>
      </c>
      <c r="J26">
        <v>2.1168393932452263</v>
      </c>
      <c r="K26">
        <v>1.3291536381136582</v>
      </c>
      <c r="L26">
        <v>2.1168393932452263</v>
      </c>
    </row>
    <row r="27" spans="1:12" ht="15" thickBot="1" x14ac:dyDescent="0.35">
      <c r="A27">
        <v>2</v>
      </c>
      <c r="B27">
        <v>1</v>
      </c>
      <c r="D27" s="2" t="s">
        <v>61</v>
      </c>
      <c r="E27" s="2">
        <v>-4.0069686411149705E-2</v>
      </c>
      <c r="F27" s="2">
        <v>0.14785722115171701</v>
      </c>
      <c r="G27" s="2">
        <v>-0.27100256652351123</v>
      </c>
      <c r="H27" s="6">
        <v>0.78744175157026874</v>
      </c>
      <c r="I27" s="2">
        <v>-0.33663371561503469</v>
      </c>
      <c r="J27" s="2">
        <v>0.25649434279273525</v>
      </c>
      <c r="K27" s="2">
        <v>-0.33663371561503469</v>
      </c>
      <c r="L27" s="2">
        <v>0.25649434279273525</v>
      </c>
    </row>
    <row r="28" spans="1:12" x14ac:dyDescent="0.3">
      <c r="A28">
        <v>2</v>
      </c>
      <c r="B28">
        <v>1</v>
      </c>
    </row>
    <row r="29" spans="1:12" x14ac:dyDescent="0.3">
      <c r="A29">
        <v>2</v>
      </c>
      <c r="B29">
        <v>1</v>
      </c>
    </row>
    <row r="30" spans="1:12" x14ac:dyDescent="0.3">
      <c r="A30">
        <v>2</v>
      </c>
      <c r="B30">
        <v>1</v>
      </c>
    </row>
    <row r="31" spans="1:12" x14ac:dyDescent="0.3">
      <c r="A31">
        <v>1</v>
      </c>
      <c r="B31">
        <v>2</v>
      </c>
    </row>
    <row r="32" spans="1:12" x14ac:dyDescent="0.3">
      <c r="A32">
        <v>1</v>
      </c>
      <c r="B32">
        <v>1</v>
      </c>
    </row>
    <row r="33" spans="1:2" x14ac:dyDescent="0.3">
      <c r="A33">
        <v>1</v>
      </c>
      <c r="B33">
        <v>2</v>
      </c>
    </row>
    <row r="34" spans="1:2" x14ac:dyDescent="0.3">
      <c r="A34">
        <v>1</v>
      </c>
      <c r="B34">
        <v>2</v>
      </c>
    </row>
    <row r="35" spans="1:2" x14ac:dyDescent="0.3">
      <c r="A35">
        <v>1</v>
      </c>
      <c r="B35">
        <v>1</v>
      </c>
    </row>
    <row r="36" spans="1:2" x14ac:dyDescent="0.3">
      <c r="A36">
        <v>2</v>
      </c>
      <c r="B36">
        <v>2</v>
      </c>
    </row>
    <row r="37" spans="1:2" x14ac:dyDescent="0.3">
      <c r="A37">
        <v>1</v>
      </c>
      <c r="B37">
        <v>2</v>
      </c>
    </row>
    <row r="38" spans="1:2" x14ac:dyDescent="0.3">
      <c r="A38">
        <v>1</v>
      </c>
      <c r="B38">
        <v>1</v>
      </c>
    </row>
    <row r="39" spans="1:2" x14ac:dyDescent="0.3">
      <c r="A39">
        <v>2</v>
      </c>
      <c r="B39">
        <v>2</v>
      </c>
    </row>
    <row r="40" spans="1:2" x14ac:dyDescent="0.3">
      <c r="A40">
        <v>2</v>
      </c>
      <c r="B40">
        <v>1</v>
      </c>
    </row>
    <row r="41" spans="1:2" x14ac:dyDescent="0.3">
      <c r="A41">
        <v>1</v>
      </c>
      <c r="B41">
        <v>1</v>
      </c>
    </row>
    <row r="42" spans="1:2" x14ac:dyDescent="0.3">
      <c r="A42">
        <v>2</v>
      </c>
      <c r="B42">
        <v>1</v>
      </c>
    </row>
    <row r="43" spans="1:2" x14ac:dyDescent="0.3">
      <c r="A43">
        <v>2</v>
      </c>
      <c r="B43">
        <v>2</v>
      </c>
    </row>
    <row r="44" spans="1:2" x14ac:dyDescent="0.3">
      <c r="A44">
        <v>2</v>
      </c>
      <c r="B44">
        <v>1</v>
      </c>
    </row>
    <row r="45" spans="1:2" x14ac:dyDescent="0.3">
      <c r="A45">
        <v>1</v>
      </c>
      <c r="B45">
        <v>1</v>
      </c>
    </row>
    <row r="46" spans="1:2" x14ac:dyDescent="0.3">
      <c r="A46">
        <v>2</v>
      </c>
      <c r="B46">
        <v>1</v>
      </c>
    </row>
    <row r="47" spans="1:2" x14ac:dyDescent="0.3">
      <c r="A47">
        <v>2</v>
      </c>
      <c r="B47">
        <v>1</v>
      </c>
    </row>
    <row r="48" spans="1:2" x14ac:dyDescent="0.3">
      <c r="A48">
        <v>2</v>
      </c>
      <c r="B48">
        <v>1</v>
      </c>
    </row>
    <row r="49" spans="1:2" x14ac:dyDescent="0.3">
      <c r="A49">
        <v>2</v>
      </c>
      <c r="B49">
        <v>1</v>
      </c>
    </row>
    <row r="50" spans="1:2" x14ac:dyDescent="0.3">
      <c r="A50">
        <v>2</v>
      </c>
      <c r="B50">
        <v>1</v>
      </c>
    </row>
    <row r="51" spans="1:2" x14ac:dyDescent="0.3">
      <c r="A51">
        <v>2</v>
      </c>
      <c r="B51">
        <v>1</v>
      </c>
    </row>
    <row r="52" spans="1:2" x14ac:dyDescent="0.3">
      <c r="A52">
        <v>2</v>
      </c>
      <c r="B52">
        <v>1</v>
      </c>
    </row>
    <row r="53" spans="1:2" x14ac:dyDescent="0.3">
      <c r="A53">
        <v>1</v>
      </c>
      <c r="B53">
        <v>1</v>
      </c>
    </row>
    <row r="54" spans="1:2" x14ac:dyDescent="0.3">
      <c r="A54">
        <v>2</v>
      </c>
      <c r="B54">
        <v>1</v>
      </c>
    </row>
    <row r="55" spans="1:2" x14ac:dyDescent="0.3">
      <c r="A55">
        <v>2</v>
      </c>
      <c r="B55">
        <v>1</v>
      </c>
    </row>
    <row r="56" spans="1:2" x14ac:dyDescent="0.3">
      <c r="A56">
        <v>1</v>
      </c>
      <c r="B5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6"/>
  <sheetViews>
    <sheetView topLeftCell="A8" workbookViewId="0">
      <selection activeCell="G32" sqref="G32"/>
    </sheetView>
  </sheetViews>
  <sheetFormatPr defaultRowHeight="14.4" x14ac:dyDescent="0.3"/>
  <sheetData>
    <row r="1" spans="1:5" x14ac:dyDescent="0.3">
      <c r="A1" t="s">
        <v>59</v>
      </c>
      <c r="B1" t="s">
        <v>61</v>
      </c>
    </row>
    <row r="2" spans="1:5" x14ac:dyDescent="0.3">
      <c r="A2">
        <v>1</v>
      </c>
      <c r="B2">
        <v>1</v>
      </c>
    </row>
    <row r="3" spans="1:5" x14ac:dyDescent="0.3">
      <c r="A3">
        <v>1</v>
      </c>
      <c r="B3">
        <v>1</v>
      </c>
    </row>
    <row r="4" spans="1:5" x14ac:dyDescent="0.3">
      <c r="A4">
        <v>2</v>
      </c>
      <c r="B4">
        <v>1</v>
      </c>
    </row>
    <row r="5" spans="1:5" x14ac:dyDescent="0.3">
      <c r="A5">
        <v>1</v>
      </c>
      <c r="B5">
        <v>1</v>
      </c>
    </row>
    <row r="6" spans="1:5" x14ac:dyDescent="0.3">
      <c r="A6">
        <v>1</v>
      </c>
      <c r="B6">
        <v>1</v>
      </c>
    </row>
    <row r="7" spans="1:5" x14ac:dyDescent="0.3">
      <c r="A7">
        <v>1</v>
      </c>
      <c r="B7">
        <v>1</v>
      </c>
    </row>
    <row r="8" spans="1:5" x14ac:dyDescent="0.3">
      <c r="A8">
        <v>2</v>
      </c>
      <c r="B8">
        <v>1</v>
      </c>
    </row>
    <row r="9" spans="1:5" x14ac:dyDescent="0.3">
      <c r="A9">
        <v>1</v>
      </c>
      <c r="B9">
        <v>1</v>
      </c>
    </row>
    <row r="10" spans="1:5" x14ac:dyDescent="0.3">
      <c r="A10">
        <v>1</v>
      </c>
      <c r="B10">
        <v>2</v>
      </c>
      <c r="D10" t="s">
        <v>148</v>
      </c>
    </row>
    <row r="11" spans="1:5" ht="15" thickBot="1" x14ac:dyDescent="0.35">
      <c r="A11">
        <v>1</v>
      </c>
      <c r="B11">
        <v>2</v>
      </c>
    </row>
    <row r="12" spans="1:5" x14ac:dyDescent="0.3">
      <c r="A12">
        <v>2</v>
      </c>
      <c r="B12">
        <v>2</v>
      </c>
      <c r="D12" s="4" t="s">
        <v>149</v>
      </c>
      <c r="E12" s="4"/>
    </row>
    <row r="13" spans="1:5" x14ac:dyDescent="0.3">
      <c r="A13">
        <v>2</v>
      </c>
      <c r="B13">
        <v>1</v>
      </c>
      <c r="D13" t="s">
        <v>150</v>
      </c>
      <c r="E13">
        <v>0.29291545974866867</v>
      </c>
    </row>
    <row r="14" spans="1:5" x14ac:dyDescent="0.3">
      <c r="A14">
        <v>1</v>
      </c>
      <c r="B14">
        <v>2</v>
      </c>
      <c r="D14" t="s">
        <v>151</v>
      </c>
      <c r="E14">
        <v>8.579946655977394E-2</v>
      </c>
    </row>
    <row r="15" spans="1:5" x14ac:dyDescent="0.3">
      <c r="A15">
        <v>1</v>
      </c>
      <c r="B15">
        <v>1</v>
      </c>
      <c r="D15" t="s">
        <v>152</v>
      </c>
      <c r="E15">
        <v>6.8550399891090436E-2</v>
      </c>
    </row>
    <row r="16" spans="1:5" x14ac:dyDescent="0.3">
      <c r="A16">
        <v>2</v>
      </c>
      <c r="B16">
        <v>1</v>
      </c>
      <c r="D16" t="s">
        <v>153</v>
      </c>
      <c r="E16">
        <v>0.53245838537331891</v>
      </c>
    </row>
    <row r="17" spans="1:12" ht="15" thickBot="1" x14ac:dyDescent="0.35">
      <c r="A17">
        <v>1</v>
      </c>
      <c r="B17">
        <v>2</v>
      </c>
      <c r="D17" s="2" t="s">
        <v>154</v>
      </c>
      <c r="E17" s="2">
        <v>55</v>
      </c>
    </row>
    <row r="18" spans="1:12" x14ac:dyDescent="0.3">
      <c r="A18">
        <v>2</v>
      </c>
      <c r="B18">
        <v>1</v>
      </c>
    </row>
    <row r="19" spans="1:12" ht="15" thickBot="1" x14ac:dyDescent="0.35">
      <c r="A19">
        <v>1</v>
      </c>
      <c r="B19">
        <v>1</v>
      </c>
      <c r="D19" t="s">
        <v>155</v>
      </c>
    </row>
    <row r="20" spans="1:12" x14ac:dyDescent="0.3">
      <c r="A20">
        <v>1</v>
      </c>
      <c r="B20">
        <v>1</v>
      </c>
      <c r="D20" s="3"/>
      <c r="E20" s="3" t="s">
        <v>160</v>
      </c>
      <c r="F20" s="3" t="s">
        <v>161</v>
      </c>
      <c r="G20" s="3" t="s">
        <v>162</v>
      </c>
      <c r="H20" s="3" t="s">
        <v>163</v>
      </c>
      <c r="I20" s="3" t="s">
        <v>164</v>
      </c>
    </row>
    <row r="21" spans="1:12" x14ac:dyDescent="0.3">
      <c r="A21">
        <v>1</v>
      </c>
      <c r="B21">
        <v>2</v>
      </c>
      <c r="D21" t="s">
        <v>156</v>
      </c>
      <c r="E21">
        <v>1</v>
      </c>
      <c r="F21">
        <v>1.4102312321824666</v>
      </c>
      <c r="G21">
        <v>1.4102312321824666</v>
      </c>
      <c r="H21">
        <v>4.9741512516469601</v>
      </c>
      <c r="I21">
        <v>2.9986281809840153E-2</v>
      </c>
    </row>
    <row r="22" spans="1:12" x14ac:dyDescent="0.3">
      <c r="A22">
        <v>2</v>
      </c>
      <c r="B22">
        <v>1</v>
      </c>
      <c r="D22" t="s">
        <v>157</v>
      </c>
      <c r="E22">
        <v>53</v>
      </c>
      <c r="F22">
        <v>15.026132404181174</v>
      </c>
      <c r="G22">
        <v>0.28351193215436177</v>
      </c>
    </row>
    <row r="23" spans="1:12" ht="15" thickBot="1" x14ac:dyDescent="0.35">
      <c r="A23">
        <v>1</v>
      </c>
      <c r="B23">
        <v>2</v>
      </c>
      <c r="D23" s="2" t="s">
        <v>158</v>
      </c>
      <c r="E23" s="2">
        <v>54</v>
      </c>
      <c r="F23" s="2">
        <v>16.436363636363641</v>
      </c>
      <c r="G23" s="2"/>
      <c r="H23" s="2"/>
      <c r="I23" s="2"/>
    </row>
    <row r="24" spans="1:12" ht="15" thickBot="1" x14ac:dyDescent="0.35">
      <c r="A24">
        <v>1</v>
      </c>
      <c r="B24">
        <v>1</v>
      </c>
    </row>
    <row r="25" spans="1:12" x14ac:dyDescent="0.3">
      <c r="A25">
        <v>1</v>
      </c>
      <c r="B25">
        <v>1</v>
      </c>
      <c r="D25" s="3"/>
      <c r="E25" s="3" t="s">
        <v>165</v>
      </c>
      <c r="F25" s="3" t="s">
        <v>153</v>
      </c>
      <c r="G25" s="3" t="s">
        <v>166</v>
      </c>
      <c r="H25" s="3" t="s">
        <v>167</v>
      </c>
      <c r="I25" s="3" t="s">
        <v>168</v>
      </c>
      <c r="J25" s="3" t="s">
        <v>169</v>
      </c>
      <c r="K25" s="3" t="s">
        <v>170</v>
      </c>
      <c r="L25" s="3" t="s">
        <v>171</v>
      </c>
    </row>
    <row r="26" spans="1:12" x14ac:dyDescent="0.3">
      <c r="A26">
        <v>1</v>
      </c>
      <c r="B26">
        <v>1</v>
      </c>
      <c r="D26" t="s">
        <v>159</v>
      </c>
      <c r="E26">
        <v>1.8066202090592338</v>
      </c>
      <c r="F26">
        <v>0.21888479388647961</v>
      </c>
      <c r="G26">
        <v>8.2537492759602227</v>
      </c>
      <c r="H26">
        <v>4.410065502386118E-11</v>
      </c>
      <c r="I26">
        <v>1.36759291028545</v>
      </c>
      <c r="J26">
        <v>2.2456475078330174</v>
      </c>
      <c r="K26">
        <v>1.36759291028545</v>
      </c>
      <c r="L26">
        <v>2.2456475078330174</v>
      </c>
    </row>
    <row r="27" spans="1:12" ht="15" thickBot="1" x14ac:dyDescent="0.35">
      <c r="A27">
        <v>1</v>
      </c>
      <c r="B27">
        <v>1</v>
      </c>
      <c r="D27" s="2" t="s">
        <v>61</v>
      </c>
      <c r="E27" s="2">
        <v>-0.36759581881533132</v>
      </c>
      <c r="F27" s="2">
        <v>0.16482044008931893</v>
      </c>
      <c r="G27" s="2">
        <v>-2.2302805320512737</v>
      </c>
      <c r="H27" s="5">
        <v>2.9986281809840934E-2</v>
      </c>
      <c r="I27" s="2">
        <v>-0.69818375647101161</v>
      </c>
      <c r="J27" s="2">
        <v>-3.7007881159651035E-2</v>
      </c>
      <c r="K27" s="2">
        <v>-0.69818375647101161</v>
      </c>
      <c r="L27" s="2">
        <v>-3.7007881159651035E-2</v>
      </c>
    </row>
    <row r="28" spans="1:12" x14ac:dyDescent="0.3">
      <c r="A28">
        <v>1</v>
      </c>
      <c r="B28">
        <v>1</v>
      </c>
    </row>
    <row r="29" spans="1:12" x14ac:dyDescent="0.3">
      <c r="A29">
        <v>2</v>
      </c>
      <c r="B29">
        <v>1</v>
      </c>
    </row>
    <row r="30" spans="1:12" x14ac:dyDescent="0.3">
      <c r="A30">
        <v>2</v>
      </c>
      <c r="B30">
        <v>1</v>
      </c>
    </row>
    <row r="31" spans="1:12" x14ac:dyDescent="0.3">
      <c r="A31">
        <v>1</v>
      </c>
      <c r="B31">
        <v>2</v>
      </c>
    </row>
    <row r="32" spans="1:12" x14ac:dyDescent="0.3">
      <c r="A32">
        <v>1</v>
      </c>
      <c r="B32">
        <v>1</v>
      </c>
    </row>
    <row r="33" spans="1:2" x14ac:dyDescent="0.3">
      <c r="A33">
        <v>1</v>
      </c>
      <c r="B33">
        <v>2</v>
      </c>
    </row>
    <row r="34" spans="1:2" x14ac:dyDescent="0.3">
      <c r="A34">
        <v>1</v>
      </c>
      <c r="B34">
        <v>2</v>
      </c>
    </row>
    <row r="35" spans="1:2" x14ac:dyDescent="0.3">
      <c r="A35">
        <v>1</v>
      </c>
      <c r="B35">
        <v>1</v>
      </c>
    </row>
    <row r="36" spans="1:2" x14ac:dyDescent="0.3">
      <c r="A36">
        <v>1</v>
      </c>
      <c r="B36">
        <v>2</v>
      </c>
    </row>
    <row r="37" spans="1:2" x14ac:dyDescent="0.3">
      <c r="A37">
        <v>1</v>
      </c>
      <c r="B37">
        <v>2</v>
      </c>
    </row>
    <row r="38" spans="1:2" x14ac:dyDescent="0.3">
      <c r="A38">
        <v>1</v>
      </c>
      <c r="B38">
        <v>1</v>
      </c>
    </row>
    <row r="39" spans="1:2" x14ac:dyDescent="0.3">
      <c r="A39">
        <v>1</v>
      </c>
      <c r="B39">
        <v>2</v>
      </c>
    </row>
    <row r="40" spans="1:2" x14ac:dyDescent="0.3">
      <c r="A40">
        <v>1</v>
      </c>
      <c r="B40">
        <v>1</v>
      </c>
    </row>
    <row r="41" spans="1:2" x14ac:dyDescent="0.3">
      <c r="A41">
        <v>1</v>
      </c>
      <c r="B41">
        <v>1</v>
      </c>
    </row>
    <row r="42" spans="1:2" x14ac:dyDescent="0.3">
      <c r="A42">
        <v>2</v>
      </c>
      <c r="B42">
        <v>1</v>
      </c>
    </row>
    <row r="43" spans="1:2" x14ac:dyDescent="0.3">
      <c r="A43">
        <v>1</v>
      </c>
      <c r="B43">
        <v>2</v>
      </c>
    </row>
    <row r="44" spans="1:2" x14ac:dyDescent="0.3">
      <c r="A44">
        <v>2</v>
      </c>
      <c r="B44">
        <v>1</v>
      </c>
    </row>
    <row r="45" spans="1:2" x14ac:dyDescent="0.3">
      <c r="A45">
        <v>1</v>
      </c>
      <c r="B45">
        <v>1</v>
      </c>
    </row>
    <row r="46" spans="1:2" x14ac:dyDescent="0.3">
      <c r="A46">
        <v>1</v>
      </c>
      <c r="B46">
        <v>1</v>
      </c>
    </row>
    <row r="47" spans="1:2" x14ac:dyDescent="0.3">
      <c r="A47">
        <v>1</v>
      </c>
      <c r="B47">
        <v>1</v>
      </c>
    </row>
    <row r="48" spans="1:2" x14ac:dyDescent="0.3">
      <c r="A48">
        <v>1</v>
      </c>
      <c r="B48">
        <v>1</v>
      </c>
    </row>
    <row r="49" spans="1:2" x14ac:dyDescent="0.3">
      <c r="A49">
        <v>1</v>
      </c>
      <c r="B49">
        <v>1</v>
      </c>
    </row>
    <row r="50" spans="1:2" x14ac:dyDescent="0.3">
      <c r="A50">
        <v>2</v>
      </c>
      <c r="B50">
        <v>1</v>
      </c>
    </row>
    <row r="51" spans="1:2" x14ac:dyDescent="0.3">
      <c r="A51">
        <v>1</v>
      </c>
      <c r="B51">
        <v>1</v>
      </c>
    </row>
    <row r="52" spans="1:2" x14ac:dyDescent="0.3">
      <c r="A52">
        <v>2</v>
      </c>
      <c r="B52">
        <v>1</v>
      </c>
    </row>
    <row r="53" spans="1:2" x14ac:dyDescent="0.3">
      <c r="A53">
        <v>3</v>
      </c>
      <c r="B53">
        <v>1</v>
      </c>
    </row>
    <row r="54" spans="1:2" x14ac:dyDescent="0.3">
      <c r="A54">
        <v>2</v>
      </c>
      <c r="B54">
        <v>1</v>
      </c>
    </row>
    <row r="55" spans="1:2" x14ac:dyDescent="0.3">
      <c r="A55">
        <v>2</v>
      </c>
      <c r="B55">
        <v>1</v>
      </c>
    </row>
    <row r="56" spans="1:2" x14ac:dyDescent="0.3">
      <c r="A56">
        <v>3</v>
      </c>
      <c r="B5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6"/>
  <sheetViews>
    <sheetView topLeftCell="C39" workbookViewId="0">
      <selection activeCell="F55" sqref="F55"/>
    </sheetView>
  </sheetViews>
  <sheetFormatPr defaultRowHeight="14.4" x14ac:dyDescent="0.3"/>
  <cols>
    <col min="2" max="2" width="45.44140625" customWidth="1"/>
    <col min="6" max="6" width="10" customWidth="1"/>
  </cols>
  <sheetData>
    <row r="1" spans="1:2" x14ac:dyDescent="0.3">
      <c r="A1" t="s">
        <v>58</v>
      </c>
      <c r="B1" t="s">
        <v>61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1</v>
      </c>
    </row>
    <row r="4" spans="1:2" x14ac:dyDescent="0.3">
      <c r="A4">
        <v>1</v>
      </c>
      <c r="B4">
        <v>1</v>
      </c>
    </row>
    <row r="5" spans="1:2" x14ac:dyDescent="0.3">
      <c r="A5">
        <v>1</v>
      </c>
      <c r="B5">
        <v>1</v>
      </c>
    </row>
    <row r="6" spans="1:2" x14ac:dyDescent="0.3">
      <c r="A6">
        <v>1</v>
      </c>
      <c r="B6">
        <v>1</v>
      </c>
    </row>
    <row r="7" spans="1:2" x14ac:dyDescent="0.3">
      <c r="A7">
        <v>1</v>
      </c>
      <c r="B7">
        <v>2</v>
      </c>
    </row>
    <row r="8" spans="1:2" x14ac:dyDescent="0.3">
      <c r="A8">
        <v>1</v>
      </c>
      <c r="B8">
        <v>1</v>
      </c>
    </row>
    <row r="9" spans="1:2" x14ac:dyDescent="0.3">
      <c r="A9">
        <v>1</v>
      </c>
      <c r="B9">
        <v>1</v>
      </c>
    </row>
    <row r="10" spans="1:2" x14ac:dyDescent="0.3">
      <c r="A10">
        <v>1</v>
      </c>
      <c r="B10">
        <v>1</v>
      </c>
    </row>
    <row r="11" spans="1:2" x14ac:dyDescent="0.3">
      <c r="A11">
        <v>1</v>
      </c>
      <c r="B11">
        <v>1</v>
      </c>
    </row>
    <row r="12" spans="1:2" x14ac:dyDescent="0.3">
      <c r="A12">
        <v>1</v>
      </c>
      <c r="B12">
        <v>1</v>
      </c>
    </row>
    <row r="13" spans="1:2" x14ac:dyDescent="0.3">
      <c r="A13">
        <v>1</v>
      </c>
      <c r="B13">
        <v>2</v>
      </c>
    </row>
    <row r="14" spans="1:2" x14ac:dyDescent="0.3">
      <c r="A14">
        <v>1</v>
      </c>
      <c r="B14">
        <v>1</v>
      </c>
    </row>
    <row r="15" spans="1:2" x14ac:dyDescent="0.3">
      <c r="A15">
        <v>1</v>
      </c>
      <c r="B15">
        <v>1</v>
      </c>
    </row>
    <row r="16" spans="1:2" x14ac:dyDescent="0.3">
      <c r="A16">
        <v>1</v>
      </c>
      <c r="B16">
        <v>1</v>
      </c>
    </row>
    <row r="17" spans="1:6" x14ac:dyDescent="0.3">
      <c r="A17">
        <v>1</v>
      </c>
      <c r="B17">
        <v>1</v>
      </c>
    </row>
    <row r="18" spans="1:6" x14ac:dyDescent="0.3">
      <c r="A18">
        <v>1</v>
      </c>
      <c r="B18">
        <v>1</v>
      </c>
    </row>
    <row r="19" spans="1:6" x14ac:dyDescent="0.3">
      <c r="A19">
        <v>1</v>
      </c>
      <c r="B19">
        <v>2</v>
      </c>
    </row>
    <row r="20" spans="1:6" x14ac:dyDescent="0.3">
      <c r="A20">
        <v>1</v>
      </c>
      <c r="B20">
        <v>1</v>
      </c>
    </row>
    <row r="21" spans="1:6" x14ac:dyDescent="0.3">
      <c r="A21">
        <v>1</v>
      </c>
      <c r="B21">
        <v>1</v>
      </c>
    </row>
    <row r="22" spans="1:6" x14ac:dyDescent="0.3">
      <c r="A22">
        <v>1</v>
      </c>
      <c r="B22">
        <v>2</v>
      </c>
    </row>
    <row r="23" spans="1:6" x14ac:dyDescent="0.3">
      <c r="A23">
        <v>1</v>
      </c>
      <c r="B23">
        <v>1</v>
      </c>
      <c r="E23" t="s">
        <v>172</v>
      </c>
      <c r="F23" t="s">
        <v>174</v>
      </c>
    </row>
    <row r="24" spans="1:6" x14ac:dyDescent="0.3">
      <c r="A24">
        <v>1</v>
      </c>
      <c r="B24">
        <v>2</v>
      </c>
      <c r="E24" t="s">
        <v>173</v>
      </c>
      <c r="F24" t="s">
        <v>174</v>
      </c>
    </row>
    <row r="25" spans="1:6" x14ac:dyDescent="0.3">
      <c r="A25">
        <v>1</v>
      </c>
      <c r="B25">
        <v>1</v>
      </c>
    </row>
    <row r="26" spans="1:6" x14ac:dyDescent="0.3">
      <c r="A26">
        <v>1</v>
      </c>
      <c r="B26">
        <v>1</v>
      </c>
    </row>
    <row r="27" spans="1:6" x14ac:dyDescent="0.3">
      <c r="A27">
        <v>1</v>
      </c>
      <c r="B27">
        <v>1</v>
      </c>
    </row>
    <row r="28" spans="1:6" x14ac:dyDescent="0.3">
      <c r="A28">
        <v>1</v>
      </c>
      <c r="B28">
        <v>1</v>
      </c>
    </row>
    <row r="29" spans="1:6" x14ac:dyDescent="0.3">
      <c r="A29">
        <v>1</v>
      </c>
      <c r="B29">
        <v>1</v>
      </c>
    </row>
    <row r="30" spans="1:6" x14ac:dyDescent="0.3">
      <c r="A30">
        <v>1</v>
      </c>
      <c r="B30">
        <v>1</v>
      </c>
    </row>
    <row r="31" spans="1:6" x14ac:dyDescent="0.3">
      <c r="A31">
        <v>1</v>
      </c>
      <c r="B31">
        <v>1</v>
      </c>
    </row>
    <row r="32" spans="1:6" x14ac:dyDescent="0.3">
      <c r="A32">
        <v>1</v>
      </c>
      <c r="B32">
        <v>1</v>
      </c>
    </row>
    <row r="33" spans="1:14" x14ac:dyDescent="0.3">
      <c r="A33">
        <v>1</v>
      </c>
      <c r="B33">
        <v>1</v>
      </c>
      <c r="F33" t="s">
        <v>148</v>
      </c>
    </row>
    <row r="34" spans="1:14" ht="15" thickBot="1" x14ac:dyDescent="0.35">
      <c r="A34">
        <v>2</v>
      </c>
      <c r="B34">
        <v>1</v>
      </c>
    </row>
    <row r="35" spans="1:14" x14ac:dyDescent="0.3">
      <c r="A35">
        <v>2</v>
      </c>
      <c r="B35">
        <v>1</v>
      </c>
      <c r="F35" s="4" t="s">
        <v>149</v>
      </c>
      <c r="G35" s="4"/>
    </row>
    <row r="36" spans="1:14" x14ac:dyDescent="0.3">
      <c r="A36">
        <v>2</v>
      </c>
      <c r="B36">
        <v>1</v>
      </c>
      <c r="F36" t="s">
        <v>150</v>
      </c>
      <c r="G36">
        <v>0.26616518597729688</v>
      </c>
    </row>
    <row r="37" spans="1:14" x14ac:dyDescent="0.3">
      <c r="A37">
        <v>2</v>
      </c>
      <c r="B37">
        <v>2</v>
      </c>
      <c r="F37" t="s">
        <v>151</v>
      </c>
      <c r="G37">
        <v>7.0843906226329023E-2</v>
      </c>
    </row>
    <row r="38" spans="1:14" x14ac:dyDescent="0.3">
      <c r="A38">
        <v>2</v>
      </c>
      <c r="B38">
        <v>2</v>
      </c>
      <c r="F38" t="s">
        <v>152</v>
      </c>
      <c r="G38">
        <v>5.3312659173995608E-2</v>
      </c>
    </row>
    <row r="39" spans="1:14" x14ac:dyDescent="0.3">
      <c r="A39">
        <v>2</v>
      </c>
      <c r="B39">
        <v>2</v>
      </c>
      <c r="F39" t="s">
        <v>153</v>
      </c>
      <c r="G39">
        <v>0.48435520081326844</v>
      </c>
    </row>
    <row r="40" spans="1:14" ht="15" thickBot="1" x14ac:dyDescent="0.35">
      <c r="A40">
        <v>2</v>
      </c>
      <c r="B40">
        <v>1</v>
      </c>
      <c r="F40" s="2" t="s">
        <v>154</v>
      </c>
      <c r="G40" s="2">
        <v>55</v>
      </c>
    </row>
    <row r="41" spans="1:14" x14ac:dyDescent="0.3">
      <c r="A41">
        <v>2</v>
      </c>
      <c r="B41">
        <v>2</v>
      </c>
    </row>
    <row r="42" spans="1:14" ht="15" thickBot="1" x14ac:dyDescent="0.35">
      <c r="A42">
        <v>2</v>
      </c>
      <c r="B42">
        <v>2</v>
      </c>
      <c r="F42" t="s">
        <v>155</v>
      </c>
    </row>
    <row r="43" spans="1:14" x14ac:dyDescent="0.3">
      <c r="A43">
        <v>2</v>
      </c>
      <c r="B43">
        <v>1</v>
      </c>
      <c r="F43" s="3"/>
      <c r="G43" s="3" t="s">
        <v>160</v>
      </c>
      <c r="H43" s="3" t="s">
        <v>161</v>
      </c>
      <c r="I43" s="3" t="s">
        <v>162</v>
      </c>
      <c r="J43" s="3" t="s">
        <v>163</v>
      </c>
      <c r="K43" s="3" t="s">
        <v>164</v>
      </c>
    </row>
    <row r="44" spans="1:14" x14ac:dyDescent="0.3">
      <c r="A44">
        <v>2</v>
      </c>
      <c r="B44">
        <v>1</v>
      </c>
      <c r="F44" t="s">
        <v>156</v>
      </c>
      <c r="G44">
        <v>1</v>
      </c>
      <c r="H44">
        <v>0.94802027241051157</v>
      </c>
      <c r="I44">
        <v>0.94802027241051157</v>
      </c>
      <c r="J44">
        <v>4.0410078082209031</v>
      </c>
      <c r="K44">
        <v>4.9508642680560364E-2</v>
      </c>
    </row>
    <row r="45" spans="1:14" x14ac:dyDescent="0.3">
      <c r="A45">
        <v>2</v>
      </c>
      <c r="B45">
        <v>1</v>
      </c>
      <c r="F45" t="s">
        <v>157</v>
      </c>
      <c r="G45">
        <v>53</v>
      </c>
      <c r="H45">
        <v>12.433797909407664</v>
      </c>
      <c r="I45">
        <v>0.2345999605548616</v>
      </c>
    </row>
    <row r="46" spans="1:14" ht="15" thickBot="1" x14ac:dyDescent="0.35">
      <c r="A46">
        <v>2</v>
      </c>
      <c r="B46">
        <v>2</v>
      </c>
      <c r="F46" s="2" t="s">
        <v>158</v>
      </c>
      <c r="G46" s="2">
        <v>54</v>
      </c>
      <c r="H46" s="2">
        <v>13.381818181818176</v>
      </c>
      <c r="I46" s="2"/>
      <c r="J46" s="2"/>
      <c r="K46" s="2"/>
    </row>
    <row r="47" spans="1:14" ht="15" thickBot="1" x14ac:dyDescent="0.35">
      <c r="A47">
        <v>2</v>
      </c>
      <c r="B47">
        <v>2</v>
      </c>
    </row>
    <row r="48" spans="1:14" x14ac:dyDescent="0.3">
      <c r="A48">
        <v>2</v>
      </c>
      <c r="B48">
        <v>2</v>
      </c>
      <c r="F48" s="3"/>
      <c r="G48" s="3" t="s">
        <v>165</v>
      </c>
      <c r="H48" s="3" t="s">
        <v>153</v>
      </c>
      <c r="I48" s="3" t="s">
        <v>166</v>
      </c>
      <c r="J48" s="3" t="s">
        <v>167</v>
      </c>
      <c r="K48" s="3" t="s">
        <v>168</v>
      </c>
      <c r="L48" s="3" t="s">
        <v>169</v>
      </c>
      <c r="M48" s="3" t="s">
        <v>170</v>
      </c>
      <c r="N48" s="3" t="s">
        <v>171</v>
      </c>
    </row>
    <row r="49" spans="1:14" x14ac:dyDescent="0.3">
      <c r="A49">
        <v>2</v>
      </c>
      <c r="B49">
        <v>2</v>
      </c>
      <c r="F49" t="s">
        <v>159</v>
      </c>
      <c r="G49">
        <v>1.0400696864111494</v>
      </c>
      <c r="H49">
        <v>0.19911037408777971</v>
      </c>
      <c r="I49">
        <v>5.223583608720582</v>
      </c>
      <c r="J49">
        <v>3.0079624212377535E-6</v>
      </c>
      <c r="K49">
        <v>0.6407048509583424</v>
      </c>
      <c r="L49">
        <v>1.4394345218639564</v>
      </c>
      <c r="M49">
        <v>0.6407048509583424</v>
      </c>
      <c r="N49">
        <v>1.4394345218639564</v>
      </c>
    </row>
    <row r="50" spans="1:14" ht="15" thickBot="1" x14ac:dyDescent="0.35">
      <c r="A50">
        <v>2</v>
      </c>
      <c r="B50">
        <v>1</v>
      </c>
      <c r="F50" s="2" t="s">
        <v>176</v>
      </c>
      <c r="G50" s="2">
        <v>0.30139372822299682</v>
      </c>
      <c r="H50" s="2">
        <v>0.14993028478952686</v>
      </c>
      <c r="I50" s="2">
        <v>2.0102258102563826</v>
      </c>
      <c r="J50" s="5">
        <v>4.9508642680559635E-2</v>
      </c>
      <c r="K50" s="2">
        <v>6.7165992953560627E-4</v>
      </c>
      <c r="L50" s="2">
        <v>0.60211579651645808</v>
      </c>
      <c r="M50" s="2">
        <v>6.7165992953560627E-4</v>
      </c>
      <c r="N50" s="2">
        <v>0.60211579651645808</v>
      </c>
    </row>
    <row r="51" spans="1:14" x14ac:dyDescent="0.3">
      <c r="A51">
        <v>2</v>
      </c>
      <c r="B51">
        <v>1</v>
      </c>
    </row>
    <row r="52" spans="1:14" x14ac:dyDescent="0.3">
      <c r="A52">
        <v>2</v>
      </c>
      <c r="B52">
        <v>1</v>
      </c>
    </row>
    <row r="53" spans="1:14" x14ac:dyDescent="0.3">
      <c r="A53">
        <v>2</v>
      </c>
      <c r="B53">
        <v>1</v>
      </c>
    </row>
    <row r="54" spans="1:14" x14ac:dyDescent="0.3">
      <c r="A54">
        <v>2</v>
      </c>
      <c r="B54">
        <v>1</v>
      </c>
    </row>
    <row r="55" spans="1:14" x14ac:dyDescent="0.3">
      <c r="A55">
        <v>2</v>
      </c>
      <c r="B55">
        <v>1</v>
      </c>
    </row>
    <row r="56" spans="1:14" x14ac:dyDescent="0.3">
      <c r="A56">
        <v>2</v>
      </c>
      <c r="B56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8"/>
  <sheetViews>
    <sheetView topLeftCell="C16" workbookViewId="0">
      <selection activeCell="J37" sqref="J37"/>
    </sheetView>
  </sheetViews>
  <sheetFormatPr defaultRowHeight="14.4" x14ac:dyDescent="0.3"/>
  <cols>
    <col min="4" max="4" width="10.5546875" customWidth="1"/>
  </cols>
  <sheetData>
    <row r="1" spans="1:5" x14ac:dyDescent="0.3">
      <c r="A1" t="s">
        <v>57</v>
      </c>
      <c r="B1" t="s">
        <v>61</v>
      </c>
    </row>
    <row r="2" spans="1:5" x14ac:dyDescent="0.3">
      <c r="A2">
        <v>21</v>
      </c>
      <c r="B2">
        <v>1</v>
      </c>
    </row>
    <row r="3" spans="1:5" x14ac:dyDescent="0.3">
      <c r="A3">
        <v>18</v>
      </c>
      <c r="B3">
        <v>1</v>
      </c>
    </row>
    <row r="4" spans="1:5" x14ac:dyDescent="0.3">
      <c r="A4">
        <v>17</v>
      </c>
      <c r="B4">
        <v>1</v>
      </c>
    </row>
    <row r="5" spans="1:5" x14ac:dyDescent="0.3">
      <c r="A5">
        <v>18</v>
      </c>
      <c r="B5">
        <v>1</v>
      </c>
    </row>
    <row r="6" spans="1:5" x14ac:dyDescent="0.3">
      <c r="A6">
        <v>18</v>
      </c>
      <c r="B6">
        <v>1</v>
      </c>
    </row>
    <row r="7" spans="1:5" x14ac:dyDescent="0.3">
      <c r="A7">
        <v>18</v>
      </c>
      <c r="B7">
        <v>1</v>
      </c>
    </row>
    <row r="8" spans="1:5" x14ac:dyDescent="0.3">
      <c r="A8">
        <v>20</v>
      </c>
      <c r="B8">
        <v>1</v>
      </c>
    </row>
    <row r="9" spans="1:5" x14ac:dyDescent="0.3">
      <c r="A9">
        <v>18</v>
      </c>
      <c r="B9">
        <v>1</v>
      </c>
    </row>
    <row r="10" spans="1:5" x14ac:dyDescent="0.3">
      <c r="A10">
        <v>18</v>
      </c>
      <c r="B10">
        <v>2</v>
      </c>
      <c r="D10" t="s">
        <v>148</v>
      </c>
    </row>
    <row r="11" spans="1:5" ht="15" thickBot="1" x14ac:dyDescent="0.35">
      <c r="A11">
        <v>19</v>
      </c>
      <c r="B11">
        <v>2</v>
      </c>
    </row>
    <row r="12" spans="1:5" x14ac:dyDescent="0.3">
      <c r="A12">
        <v>18</v>
      </c>
      <c r="B12">
        <v>2</v>
      </c>
      <c r="D12" s="4" t="s">
        <v>149</v>
      </c>
      <c r="E12" s="4"/>
    </row>
    <row r="13" spans="1:5" x14ac:dyDescent="0.3">
      <c r="A13">
        <v>17</v>
      </c>
      <c r="B13">
        <v>1</v>
      </c>
      <c r="D13" t="s">
        <v>150</v>
      </c>
      <c r="E13">
        <v>0.11583258074537685</v>
      </c>
    </row>
    <row r="14" spans="1:5" x14ac:dyDescent="0.3">
      <c r="A14">
        <v>19</v>
      </c>
      <c r="B14">
        <v>2</v>
      </c>
      <c r="D14" t="s">
        <v>151</v>
      </c>
      <c r="E14">
        <v>1.3417186762134247E-2</v>
      </c>
    </row>
    <row r="15" spans="1:5" x14ac:dyDescent="0.3">
      <c r="A15">
        <v>19</v>
      </c>
      <c r="B15">
        <v>1</v>
      </c>
      <c r="D15" t="s">
        <v>152</v>
      </c>
      <c r="E15">
        <v>-5.1975832989575596E-3</v>
      </c>
    </row>
    <row r="16" spans="1:5" x14ac:dyDescent="0.3">
      <c r="A16">
        <v>18</v>
      </c>
      <c r="B16">
        <v>1</v>
      </c>
      <c r="D16" t="s">
        <v>153</v>
      </c>
      <c r="E16">
        <v>0.96123332014638729</v>
      </c>
    </row>
    <row r="17" spans="1:12" ht="15" thickBot="1" x14ac:dyDescent="0.35">
      <c r="A17">
        <v>17</v>
      </c>
      <c r="B17">
        <v>2</v>
      </c>
      <c r="D17" s="2" t="s">
        <v>154</v>
      </c>
      <c r="E17" s="2">
        <v>55</v>
      </c>
    </row>
    <row r="18" spans="1:12" x14ac:dyDescent="0.3">
      <c r="A18">
        <v>19</v>
      </c>
      <c r="B18">
        <v>1</v>
      </c>
    </row>
    <row r="19" spans="1:12" ht="15" thickBot="1" x14ac:dyDescent="0.35">
      <c r="A19">
        <v>17</v>
      </c>
      <c r="B19">
        <v>1</v>
      </c>
      <c r="D19" t="s">
        <v>155</v>
      </c>
    </row>
    <row r="20" spans="1:12" x14ac:dyDescent="0.3">
      <c r="A20">
        <v>19</v>
      </c>
      <c r="B20">
        <v>1</v>
      </c>
      <c r="D20" s="3"/>
      <c r="E20" s="3" t="s">
        <v>160</v>
      </c>
      <c r="F20" s="3" t="s">
        <v>161</v>
      </c>
      <c r="G20" s="3" t="s">
        <v>162</v>
      </c>
      <c r="H20" s="3" t="s">
        <v>163</v>
      </c>
      <c r="I20" s="3" t="s">
        <v>164</v>
      </c>
    </row>
    <row r="21" spans="1:12" x14ac:dyDescent="0.3">
      <c r="A21">
        <v>18</v>
      </c>
      <c r="B21">
        <v>2</v>
      </c>
      <c r="D21" t="s">
        <v>156</v>
      </c>
      <c r="E21">
        <v>1</v>
      </c>
      <c r="F21">
        <v>0.66598036110229941</v>
      </c>
      <c r="G21">
        <v>0.66598036110229941</v>
      </c>
      <c r="H21">
        <v>0.72078176190736643</v>
      </c>
      <c r="I21">
        <v>0.39970609471340501</v>
      </c>
    </row>
    <row r="22" spans="1:12" x14ac:dyDescent="0.3">
      <c r="A22">
        <v>18</v>
      </c>
      <c r="B22">
        <v>1</v>
      </c>
      <c r="D22" t="s">
        <v>157</v>
      </c>
      <c r="E22">
        <v>53</v>
      </c>
      <c r="F22">
        <v>48.970383275261298</v>
      </c>
      <c r="G22">
        <v>0.92396949575964715</v>
      </c>
    </row>
    <row r="23" spans="1:12" ht="15" thickBot="1" x14ac:dyDescent="0.35">
      <c r="A23">
        <v>19</v>
      </c>
      <c r="B23">
        <v>2</v>
      </c>
      <c r="D23" s="2" t="s">
        <v>158</v>
      </c>
      <c r="E23" s="2">
        <v>54</v>
      </c>
      <c r="F23" s="2">
        <v>49.636363636363598</v>
      </c>
      <c r="G23" s="2"/>
      <c r="H23" s="2"/>
      <c r="I23" s="2"/>
    </row>
    <row r="24" spans="1:12" ht="15" thickBot="1" x14ac:dyDescent="0.35">
      <c r="A24">
        <v>17</v>
      </c>
      <c r="B24">
        <v>1</v>
      </c>
    </row>
    <row r="25" spans="1:12" x14ac:dyDescent="0.3">
      <c r="A25">
        <v>18</v>
      </c>
      <c r="B25">
        <v>1</v>
      </c>
      <c r="D25" s="3"/>
      <c r="E25" s="3" t="s">
        <v>165</v>
      </c>
      <c r="F25" s="3" t="s">
        <v>153</v>
      </c>
      <c r="G25" s="3" t="s">
        <v>166</v>
      </c>
      <c r="H25" s="3" t="s">
        <v>167</v>
      </c>
      <c r="I25" s="3" t="s">
        <v>168</v>
      </c>
      <c r="J25" s="3" t="s">
        <v>169</v>
      </c>
      <c r="K25" s="3" t="s">
        <v>170</v>
      </c>
      <c r="L25" s="3" t="s">
        <v>171</v>
      </c>
    </row>
    <row r="26" spans="1:12" x14ac:dyDescent="0.3">
      <c r="A26">
        <v>20</v>
      </c>
      <c r="B26">
        <v>1</v>
      </c>
      <c r="D26" t="s">
        <v>159</v>
      </c>
      <c r="E26">
        <v>18.862369337979096</v>
      </c>
      <c r="F26">
        <v>0.39514704423246627</v>
      </c>
      <c r="G26">
        <v>47.735063727016779</v>
      </c>
      <c r="H26">
        <v>3.1107291412206284E-45</v>
      </c>
      <c r="I26">
        <v>18.069804736448134</v>
      </c>
      <c r="J26">
        <v>19.654933939510059</v>
      </c>
      <c r="K26">
        <v>18.069804736448134</v>
      </c>
      <c r="L26">
        <v>19.654933939510059</v>
      </c>
    </row>
    <row r="27" spans="1:12" ht="15" thickBot="1" x14ac:dyDescent="0.35">
      <c r="A27">
        <v>18</v>
      </c>
      <c r="B27">
        <v>1</v>
      </c>
      <c r="D27" s="2" t="s">
        <v>176</v>
      </c>
      <c r="E27" s="2">
        <v>-0.25261324041811867</v>
      </c>
      <c r="F27" s="2">
        <v>0.2975460678377056</v>
      </c>
      <c r="G27" s="2">
        <v>-0.84898867007009071</v>
      </c>
      <c r="H27" s="6">
        <v>0.39970609471340013</v>
      </c>
      <c r="I27" s="2">
        <v>-0.84941507440617592</v>
      </c>
      <c r="J27" s="2">
        <v>0.34418859356993853</v>
      </c>
      <c r="K27" s="2">
        <v>-0.84941507440617592</v>
      </c>
      <c r="L27" s="2">
        <v>0.34418859356993853</v>
      </c>
    </row>
    <row r="28" spans="1:12" x14ac:dyDescent="0.3">
      <c r="A28">
        <v>19</v>
      </c>
      <c r="B28">
        <v>1</v>
      </c>
    </row>
    <row r="29" spans="1:12" x14ac:dyDescent="0.3">
      <c r="A29">
        <v>19</v>
      </c>
      <c r="B29">
        <v>1</v>
      </c>
    </row>
    <row r="30" spans="1:12" x14ac:dyDescent="0.3">
      <c r="A30">
        <v>18</v>
      </c>
      <c r="B30">
        <v>1</v>
      </c>
    </row>
    <row r="31" spans="1:12" x14ac:dyDescent="0.3">
      <c r="A31">
        <v>18</v>
      </c>
      <c r="B31">
        <v>2</v>
      </c>
    </row>
    <row r="32" spans="1:12" x14ac:dyDescent="0.3">
      <c r="A32">
        <v>19</v>
      </c>
      <c r="B32">
        <v>1</v>
      </c>
    </row>
    <row r="33" spans="1:2" x14ac:dyDescent="0.3">
      <c r="A33">
        <v>18</v>
      </c>
      <c r="B33">
        <v>2</v>
      </c>
    </row>
    <row r="34" spans="1:2" x14ac:dyDescent="0.3">
      <c r="A34">
        <v>18</v>
      </c>
      <c r="B34">
        <v>2</v>
      </c>
    </row>
    <row r="35" spans="1:2" x14ac:dyDescent="0.3">
      <c r="A35">
        <v>19</v>
      </c>
      <c r="B35">
        <v>1</v>
      </c>
    </row>
    <row r="36" spans="1:2" x14ac:dyDescent="0.3">
      <c r="A36">
        <v>17</v>
      </c>
      <c r="B36">
        <v>2</v>
      </c>
    </row>
    <row r="37" spans="1:2" x14ac:dyDescent="0.3">
      <c r="A37">
        <v>19</v>
      </c>
      <c r="B37">
        <v>2</v>
      </c>
    </row>
    <row r="38" spans="1:2" x14ac:dyDescent="0.3">
      <c r="A38">
        <v>18</v>
      </c>
      <c r="B38">
        <v>1</v>
      </c>
    </row>
    <row r="39" spans="1:2" x14ac:dyDescent="0.3">
      <c r="A39">
        <v>20</v>
      </c>
      <c r="B39">
        <v>2</v>
      </c>
    </row>
    <row r="40" spans="1:2" x14ac:dyDescent="0.3">
      <c r="A40">
        <v>19</v>
      </c>
      <c r="B40">
        <v>1</v>
      </c>
    </row>
    <row r="41" spans="1:2" x14ac:dyDescent="0.3">
      <c r="A41">
        <v>18</v>
      </c>
      <c r="B41">
        <v>1</v>
      </c>
    </row>
    <row r="42" spans="1:2" x14ac:dyDescent="0.3">
      <c r="A42">
        <v>19</v>
      </c>
      <c r="B42">
        <v>1</v>
      </c>
    </row>
    <row r="43" spans="1:2" x14ac:dyDescent="0.3">
      <c r="A43">
        <v>19</v>
      </c>
      <c r="B43">
        <v>2</v>
      </c>
    </row>
    <row r="44" spans="1:2" x14ac:dyDescent="0.3">
      <c r="A44">
        <v>19</v>
      </c>
      <c r="B44">
        <v>1</v>
      </c>
    </row>
    <row r="45" spans="1:2" x14ac:dyDescent="0.3">
      <c r="A45">
        <v>18</v>
      </c>
      <c r="B45">
        <v>1</v>
      </c>
    </row>
    <row r="46" spans="1:2" x14ac:dyDescent="0.3">
      <c r="A46">
        <v>19</v>
      </c>
      <c r="B46">
        <v>1</v>
      </c>
    </row>
    <row r="47" spans="1:2" x14ac:dyDescent="0.3">
      <c r="A47">
        <v>19</v>
      </c>
      <c r="B47">
        <v>1</v>
      </c>
    </row>
    <row r="48" spans="1:2" x14ac:dyDescent="0.3">
      <c r="A48">
        <v>18</v>
      </c>
      <c r="B48">
        <v>1</v>
      </c>
    </row>
    <row r="49" spans="1:2" x14ac:dyDescent="0.3">
      <c r="A49">
        <v>18</v>
      </c>
      <c r="B49">
        <v>1</v>
      </c>
    </row>
    <row r="50" spans="1:2" x14ac:dyDescent="0.3">
      <c r="A50">
        <v>19</v>
      </c>
      <c r="B50">
        <v>1</v>
      </c>
    </row>
    <row r="51" spans="1:2" x14ac:dyDescent="0.3">
      <c r="A51">
        <v>21</v>
      </c>
      <c r="B51">
        <v>1</v>
      </c>
    </row>
    <row r="52" spans="1:2" x14ac:dyDescent="0.3">
      <c r="A52">
        <v>18</v>
      </c>
      <c r="B52">
        <v>1</v>
      </c>
    </row>
    <row r="53" spans="1:2" x14ac:dyDescent="0.3">
      <c r="A53">
        <v>19</v>
      </c>
      <c r="B53">
        <v>1</v>
      </c>
    </row>
    <row r="54" spans="1:2" x14ac:dyDescent="0.3">
      <c r="A54">
        <v>19</v>
      </c>
      <c r="B54">
        <v>1</v>
      </c>
    </row>
    <row r="55" spans="1:2" x14ac:dyDescent="0.3">
      <c r="A55">
        <v>19</v>
      </c>
      <c r="B55">
        <v>1</v>
      </c>
    </row>
    <row r="56" spans="1:2" x14ac:dyDescent="0.3">
      <c r="A56">
        <v>21</v>
      </c>
      <c r="B56">
        <v>1</v>
      </c>
    </row>
    <row r="62" spans="1:2" x14ac:dyDescent="0.3">
      <c r="A62" t="s">
        <v>133</v>
      </c>
    </row>
    <row r="63" spans="1:2" x14ac:dyDescent="0.3">
      <c r="A63" t="s">
        <v>134</v>
      </c>
    </row>
    <row r="67" spans="1:1" x14ac:dyDescent="0.3">
      <c r="A67" t="s">
        <v>146</v>
      </c>
    </row>
    <row r="68" spans="1:1" x14ac:dyDescent="0.3">
      <c r="A68" t="s">
        <v>147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6"/>
  <sheetViews>
    <sheetView topLeftCell="F3" workbookViewId="0">
      <selection activeCell="I41" sqref="I41"/>
    </sheetView>
  </sheetViews>
  <sheetFormatPr defaultRowHeight="14.4" x14ac:dyDescent="0.3"/>
  <sheetData>
    <row r="1" spans="1:16" x14ac:dyDescent="0.3">
      <c r="A1" s="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</row>
    <row r="2" spans="1:16" x14ac:dyDescent="0.3">
      <c r="A2" t="s">
        <v>1</v>
      </c>
      <c r="B2" t="s">
        <v>71</v>
      </c>
      <c r="C2">
        <v>21</v>
      </c>
      <c r="D2" t="s">
        <v>72</v>
      </c>
      <c r="E2" t="s">
        <v>73</v>
      </c>
      <c r="F2" t="s">
        <v>74</v>
      </c>
      <c r="G2" t="s">
        <v>75</v>
      </c>
      <c r="H2" t="s">
        <v>75</v>
      </c>
      <c r="I2" t="s">
        <v>76</v>
      </c>
      <c r="J2">
        <v>5</v>
      </c>
      <c r="K2">
        <v>5</v>
      </c>
      <c r="L2">
        <v>5</v>
      </c>
      <c r="M2">
        <v>5</v>
      </c>
      <c r="N2">
        <v>5</v>
      </c>
      <c r="O2" t="s">
        <v>75</v>
      </c>
      <c r="P2" t="s">
        <v>75</v>
      </c>
    </row>
    <row r="3" spans="1:16" x14ac:dyDescent="0.3">
      <c r="A3" t="s">
        <v>2</v>
      </c>
      <c r="B3" t="s">
        <v>77</v>
      </c>
      <c r="C3">
        <v>18</v>
      </c>
      <c r="D3" t="s">
        <v>78</v>
      </c>
      <c r="E3" t="s">
        <v>73</v>
      </c>
      <c r="F3" t="s">
        <v>74</v>
      </c>
      <c r="G3" t="s">
        <v>75</v>
      </c>
      <c r="H3" t="s">
        <v>75</v>
      </c>
      <c r="I3" t="s">
        <v>79</v>
      </c>
      <c r="J3">
        <v>2</v>
      </c>
      <c r="K3">
        <v>2</v>
      </c>
      <c r="L3">
        <v>4</v>
      </c>
      <c r="M3">
        <v>4</v>
      </c>
      <c r="N3">
        <v>4</v>
      </c>
      <c r="O3" t="s">
        <v>75</v>
      </c>
      <c r="P3" t="s">
        <v>75</v>
      </c>
    </row>
    <row r="4" spans="1:16" x14ac:dyDescent="0.3">
      <c r="A4" t="s">
        <v>3</v>
      </c>
      <c r="B4" t="s">
        <v>80</v>
      </c>
      <c r="C4">
        <v>17</v>
      </c>
      <c r="D4" t="s">
        <v>72</v>
      </c>
      <c r="E4" t="s">
        <v>81</v>
      </c>
      <c r="F4" t="s">
        <v>74</v>
      </c>
      <c r="G4" t="s">
        <v>75</v>
      </c>
      <c r="H4" t="s">
        <v>75</v>
      </c>
      <c r="I4" t="s">
        <v>79</v>
      </c>
      <c r="J4">
        <v>1</v>
      </c>
      <c r="K4">
        <v>3</v>
      </c>
      <c r="L4">
        <v>5</v>
      </c>
      <c r="M4">
        <v>3</v>
      </c>
      <c r="N4">
        <v>2</v>
      </c>
      <c r="O4" t="s">
        <v>74</v>
      </c>
      <c r="P4" t="s">
        <v>75</v>
      </c>
    </row>
    <row r="5" spans="1:16" x14ac:dyDescent="0.3">
      <c r="A5" t="s">
        <v>4</v>
      </c>
      <c r="B5" t="s">
        <v>82</v>
      </c>
      <c r="C5">
        <v>18</v>
      </c>
      <c r="D5" t="s">
        <v>72</v>
      </c>
      <c r="E5" t="s">
        <v>73</v>
      </c>
      <c r="F5" t="s">
        <v>75</v>
      </c>
      <c r="G5" t="s">
        <v>75</v>
      </c>
      <c r="H5" t="s">
        <v>75</v>
      </c>
      <c r="I5" t="s">
        <v>79</v>
      </c>
      <c r="J5">
        <v>4</v>
      </c>
      <c r="K5">
        <v>4</v>
      </c>
      <c r="L5">
        <v>5</v>
      </c>
      <c r="M5">
        <v>3</v>
      </c>
      <c r="N5">
        <v>4</v>
      </c>
      <c r="O5" t="s">
        <v>75</v>
      </c>
      <c r="P5" t="s">
        <v>75</v>
      </c>
    </row>
    <row r="6" spans="1:16" x14ac:dyDescent="0.3">
      <c r="A6" t="s">
        <v>5</v>
      </c>
      <c r="B6" t="s">
        <v>83</v>
      </c>
      <c r="C6">
        <v>18</v>
      </c>
      <c r="D6" t="s">
        <v>72</v>
      </c>
      <c r="E6" t="s">
        <v>73</v>
      </c>
      <c r="F6" t="s">
        <v>74</v>
      </c>
      <c r="G6" t="s">
        <v>75</v>
      </c>
      <c r="H6" t="s">
        <v>75</v>
      </c>
      <c r="I6" t="s">
        <v>76</v>
      </c>
      <c r="J6">
        <v>3</v>
      </c>
      <c r="K6">
        <v>2</v>
      </c>
      <c r="L6">
        <v>4</v>
      </c>
      <c r="M6">
        <v>4</v>
      </c>
      <c r="N6">
        <v>3</v>
      </c>
      <c r="O6" t="s">
        <v>75</v>
      </c>
      <c r="P6" t="s">
        <v>75</v>
      </c>
    </row>
    <row r="7" spans="1:16" x14ac:dyDescent="0.3">
      <c r="A7" t="s">
        <v>6</v>
      </c>
      <c r="B7" t="s">
        <v>84</v>
      </c>
      <c r="C7">
        <v>18</v>
      </c>
      <c r="D7" t="s">
        <v>78</v>
      </c>
      <c r="E7" t="s">
        <v>73</v>
      </c>
      <c r="F7" t="s">
        <v>74</v>
      </c>
      <c r="G7" t="s">
        <v>75</v>
      </c>
      <c r="H7" t="s">
        <v>75</v>
      </c>
      <c r="I7" t="s">
        <v>76</v>
      </c>
      <c r="J7">
        <v>2</v>
      </c>
      <c r="K7">
        <v>4</v>
      </c>
      <c r="L7">
        <v>5</v>
      </c>
      <c r="M7">
        <v>4</v>
      </c>
      <c r="N7">
        <v>5</v>
      </c>
      <c r="O7" t="s">
        <v>75</v>
      </c>
      <c r="P7" t="s">
        <v>75</v>
      </c>
    </row>
    <row r="8" spans="1:16" x14ac:dyDescent="0.3">
      <c r="A8" t="s">
        <v>7</v>
      </c>
      <c r="B8" t="s">
        <v>85</v>
      </c>
      <c r="C8">
        <v>20</v>
      </c>
      <c r="D8" t="s">
        <v>72</v>
      </c>
      <c r="E8" t="s">
        <v>81</v>
      </c>
      <c r="F8" t="s">
        <v>74</v>
      </c>
      <c r="G8" t="s">
        <v>75</v>
      </c>
      <c r="H8" t="s">
        <v>75</v>
      </c>
      <c r="I8" t="s">
        <v>76</v>
      </c>
      <c r="J8">
        <v>4</v>
      </c>
      <c r="K8">
        <v>2</v>
      </c>
      <c r="L8">
        <v>2</v>
      </c>
      <c r="M8">
        <v>1</v>
      </c>
      <c r="N8">
        <v>4</v>
      </c>
      <c r="O8" t="s">
        <v>74</v>
      </c>
      <c r="P8" t="s">
        <v>74</v>
      </c>
    </row>
    <row r="9" spans="1:16" x14ac:dyDescent="0.3">
      <c r="A9" t="s">
        <v>8</v>
      </c>
      <c r="B9" t="s">
        <v>86</v>
      </c>
      <c r="C9">
        <v>18</v>
      </c>
      <c r="D9" t="s">
        <v>78</v>
      </c>
      <c r="E9" t="s">
        <v>73</v>
      </c>
      <c r="F9" t="s">
        <v>74</v>
      </c>
      <c r="G9" t="s">
        <v>75</v>
      </c>
      <c r="H9" t="s">
        <v>75</v>
      </c>
      <c r="I9" t="s">
        <v>76</v>
      </c>
      <c r="J9">
        <v>2</v>
      </c>
      <c r="K9">
        <v>4</v>
      </c>
      <c r="L9">
        <v>5</v>
      </c>
      <c r="M9">
        <v>4</v>
      </c>
      <c r="N9">
        <v>4</v>
      </c>
      <c r="O9" t="s">
        <v>75</v>
      </c>
    </row>
    <row r="10" spans="1:16" x14ac:dyDescent="0.3">
      <c r="A10" t="s">
        <v>9</v>
      </c>
      <c r="C10">
        <v>18</v>
      </c>
      <c r="D10" t="s">
        <v>78</v>
      </c>
      <c r="E10" t="s">
        <v>73</v>
      </c>
      <c r="F10" t="s">
        <v>74</v>
      </c>
      <c r="G10" t="s">
        <v>74</v>
      </c>
      <c r="H10" t="s">
        <v>75</v>
      </c>
      <c r="I10" t="s">
        <v>76</v>
      </c>
      <c r="J10">
        <v>2</v>
      </c>
      <c r="K10">
        <v>4</v>
      </c>
      <c r="L10">
        <v>5</v>
      </c>
      <c r="M10">
        <v>5</v>
      </c>
      <c r="N10">
        <v>5</v>
      </c>
      <c r="O10" t="s">
        <v>75</v>
      </c>
      <c r="P10" t="s">
        <v>74</v>
      </c>
    </row>
    <row r="11" spans="1:16" x14ac:dyDescent="0.3">
      <c r="A11" t="s">
        <v>10</v>
      </c>
      <c r="B11" t="s">
        <v>87</v>
      </c>
      <c r="C11">
        <v>19</v>
      </c>
      <c r="D11" t="s">
        <v>72</v>
      </c>
      <c r="E11" t="s">
        <v>73</v>
      </c>
      <c r="F11" t="s">
        <v>74</v>
      </c>
      <c r="G11" t="s">
        <v>74</v>
      </c>
      <c r="H11" t="s">
        <v>75</v>
      </c>
      <c r="I11" t="s">
        <v>76</v>
      </c>
      <c r="J11">
        <v>3</v>
      </c>
      <c r="K11">
        <v>3</v>
      </c>
      <c r="L11">
        <v>5</v>
      </c>
      <c r="M11">
        <v>4</v>
      </c>
      <c r="N11">
        <v>5</v>
      </c>
      <c r="O11" t="s">
        <v>75</v>
      </c>
    </row>
    <row r="12" spans="1:16" x14ac:dyDescent="0.3">
      <c r="A12" t="s">
        <v>11</v>
      </c>
      <c r="B12" t="s">
        <v>88</v>
      </c>
      <c r="C12">
        <v>18</v>
      </c>
      <c r="D12" t="s">
        <v>78</v>
      </c>
      <c r="E12" t="s">
        <v>81</v>
      </c>
      <c r="F12" t="s">
        <v>75</v>
      </c>
      <c r="G12" t="s">
        <v>74</v>
      </c>
      <c r="H12" t="s">
        <v>75</v>
      </c>
      <c r="I12" t="s">
        <v>76</v>
      </c>
      <c r="J12">
        <v>1</v>
      </c>
      <c r="K12">
        <v>5</v>
      </c>
      <c r="L12">
        <v>5</v>
      </c>
      <c r="M12">
        <v>4</v>
      </c>
      <c r="N12">
        <v>4</v>
      </c>
      <c r="O12" t="s">
        <v>75</v>
      </c>
      <c r="P12" t="s">
        <v>75</v>
      </c>
    </row>
    <row r="13" spans="1:16" x14ac:dyDescent="0.3">
      <c r="A13" t="s">
        <v>12</v>
      </c>
      <c r="B13" t="s">
        <v>89</v>
      </c>
      <c r="C13">
        <v>17</v>
      </c>
      <c r="D13" t="s">
        <v>72</v>
      </c>
      <c r="E13" t="s">
        <v>81</v>
      </c>
      <c r="F13" t="s">
        <v>75</v>
      </c>
      <c r="G13" t="s">
        <v>75</v>
      </c>
      <c r="H13" t="s">
        <v>75</v>
      </c>
      <c r="I13" t="s">
        <v>76</v>
      </c>
      <c r="J13">
        <v>2</v>
      </c>
      <c r="K13">
        <v>4</v>
      </c>
      <c r="L13">
        <v>5</v>
      </c>
      <c r="M13">
        <v>4</v>
      </c>
      <c r="N13">
        <v>4</v>
      </c>
      <c r="O13" t="s">
        <v>75</v>
      </c>
      <c r="P13" t="s">
        <v>75</v>
      </c>
    </row>
    <row r="14" spans="1:16" x14ac:dyDescent="0.3">
      <c r="A14" t="s">
        <v>13</v>
      </c>
      <c r="B14" t="s">
        <v>90</v>
      </c>
      <c r="C14">
        <v>19</v>
      </c>
      <c r="D14" t="s">
        <v>78</v>
      </c>
      <c r="E14" t="s">
        <v>73</v>
      </c>
      <c r="F14" t="s">
        <v>74</v>
      </c>
      <c r="G14" t="s">
        <v>74</v>
      </c>
      <c r="H14" t="s">
        <v>75</v>
      </c>
      <c r="I14" t="s">
        <v>76</v>
      </c>
      <c r="J14">
        <v>3</v>
      </c>
      <c r="K14">
        <v>4</v>
      </c>
      <c r="L14">
        <v>4</v>
      </c>
      <c r="M14">
        <v>4</v>
      </c>
      <c r="N14">
        <v>3</v>
      </c>
      <c r="O14" t="s">
        <v>74</v>
      </c>
      <c r="P14" t="s">
        <v>75</v>
      </c>
    </row>
    <row r="15" spans="1:16" x14ac:dyDescent="0.3">
      <c r="A15" t="s">
        <v>14</v>
      </c>
      <c r="B15" t="s">
        <v>91</v>
      </c>
      <c r="C15">
        <v>19</v>
      </c>
      <c r="D15" t="s">
        <v>78</v>
      </c>
      <c r="E15" t="s">
        <v>73</v>
      </c>
      <c r="F15" t="s">
        <v>74</v>
      </c>
      <c r="G15" t="s">
        <v>75</v>
      </c>
      <c r="H15" t="s">
        <v>75</v>
      </c>
      <c r="I15" t="s">
        <v>79</v>
      </c>
      <c r="J15">
        <v>2</v>
      </c>
      <c r="K15">
        <v>1</v>
      </c>
      <c r="L15">
        <v>5</v>
      </c>
      <c r="M15">
        <v>5</v>
      </c>
      <c r="N15">
        <v>3</v>
      </c>
      <c r="O15" t="s">
        <v>75</v>
      </c>
      <c r="P15" t="s">
        <v>75</v>
      </c>
    </row>
    <row r="16" spans="1:16" x14ac:dyDescent="0.3">
      <c r="A16" t="s">
        <v>15</v>
      </c>
      <c r="B16" t="s">
        <v>92</v>
      </c>
      <c r="C16">
        <v>18</v>
      </c>
      <c r="D16" t="s">
        <v>72</v>
      </c>
      <c r="E16" t="s">
        <v>81</v>
      </c>
      <c r="F16" t="s">
        <v>74</v>
      </c>
      <c r="G16" t="s">
        <v>75</v>
      </c>
      <c r="H16" t="s">
        <v>75</v>
      </c>
      <c r="I16" t="s">
        <v>76</v>
      </c>
      <c r="J16">
        <v>3</v>
      </c>
      <c r="K16">
        <v>2</v>
      </c>
      <c r="L16">
        <v>4</v>
      </c>
      <c r="M16">
        <v>2</v>
      </c>
      <c r="N16">
        <v>3</v>
      </c>
      <c r="O16" t="s">
        <v>74</v>
      </c>
      <c r="P16" t="s">
        <v>75</v>
      </c>
    </row>
    <row r="17" spans="1:16" x14ac:dyDescent="0.3">
      <c r="A17" t="s">
        <v>16</v>
      </c>
      <c r="B17" t="s">
        <v>93</v>
      </c>
      <c r="C17">
        <v>17</v>
      </c>
      <c r="D17" t="s">
        <v>78</v>
      </c>
      <c r="E17" t="s">
        <v>73</v>
      </c>
      <c r="F17" t="s">
        <v>74</v>
      </c>
      <c r="G17" t="s">
        <v>74</v>
      </c>
      <c r="H17" t="s">
        <v>75</v>
      </c>
      <c r="I17" t="s">
        <v>79</v>
      </c>
      <c r="J17">
        <v>2</v>
      </c>
      <c r="K17">
        <v>4</v>
      </c>
      <c r="L17">
        <v>5</v>
      </c>
      <c r="M17">
        <v>5</v>
      </c>
      <c r="N17">
        <v>3</v>
      </c>
      <c r="O17" t="s">
        <v>75</v>
      </c>
      <c r="P17" t="s">
        <v>75</v>
      </c>
    </row>
    <row r="18" spans="1:16" x14ac:dyDescent="0.3">
      <c r="A18" t="s">
        <v>17</v>
      </c>
      <c r="B18" t="s">
        <v>94</v>
      </c>
      <c r="C18">
        <v>19</v>
      </c>
      <c r="D18" t="s">
        <v>72</v>
      </c>
      <c r="E18" t="s">
        <v>81</v>
      </c>
      <c r="F18" t="s">
        <v>74</v>
      </c>
      <c r="G18" t="s">
        <v>75</v>
      </c>
      <c r="H18" t="s">
        <v>75</v>
      </c>
      <c r="I18" t="s">
        <v>76</v>
      </c>
      <c r="J18">
        <v>2</v>
      </c>
      <c r="K18">
        <v>4</v>
      </c>
      <c r="L18">
        <v>5</v>
      </c>
      <c r="M18">
        <v>2</v>
      </c>
      <c r="N18">
        <v>4</v>
      </c>
      <c r="O18" t="s">
        <v>74</v>
      </c>
      <c r="P18" t="s">
        <v>74</v>
      </c>
    </row>
    <row r="19" spans="1:16" x14ac:dyDescent="0.3">
      <c r="A19" t="s">
        <v>18</v>
      </c>
      <c r="B19" t="s">
        <v>95</v>
      </c>
      <c r="C19">
        <v>17</v>
      </c>
      <c r="D19" t="s">
        <v>72</v>
      </c>
      <c r="E19" t="s">
        <v>73</v>
      </c>
      <c r="F19" t="s">
        <v>75</v>
      </c>
      <c r="G19" t="s">
        <v>75</v>
      </c>
      <c r="H19" t="s">
        <v>75</v>
      </c>
      <c r="I19" t="s">
        <v>76</v>
      </c>
      <c r="J19">
        <v>3</v>
      </c>
      <c r="K19">
        <v>3</v>
      </c>
      <c r="L19">
        <v>3</v>
      </c>
      <c r="M19">
        <v>3</v>
      </c>
      <c r="N19">
        <v>3</v>
      </c>
      <c r="O19" t="s">
        <v>75</v>
      </c>
      <c r="P19" t="s">
        <v>75</v>
      </c>
    </row>
    <row r="20" spans="1:16" x14ac:dyDescent="0.3">
      <c r="A20" t="s">
        <v>19</v>
      </c>
      <c r="B20" t="s">
        <v>96</v>
      </c>
      <c r="C20">
        <v>19</v>
      </c>
      <c r="D20" t="s">
        <v>72</v>
      </c>
      <c r="E20" t="s">
        <v>73</v>
      </c>
      <c r="F20" t="s">
        <v>74</v>
      </c>
      <c r="G20" t="s">
        <v>75</v>
      </c>
      <c r="H20" t="s">
        <v>75</v>
      </c>
      <c r="I20" t="s">
        <v>76</v>
      </c>
      <c r="J20">
        <v>3</v>
      </c>
      <c r="K20">
        <v>5</v>
      </c>
      <c r="L20">
        <v>5</v>
      </c>
      <c r="M20">
        <v>4</v>
      </c>
      <c r="N20">
        <v>4</v>
      </c>
      <c r="O20" t="s">
        <v>75</v>
      </c>
      <c r="P20" t="s">
        <v>75</v>
      </c>
    </row>
    <row r="21" spans="1:16" x14ac:dyDescent="0.3">
      <c r="A21" t="s">
        <v>20</v>
      </c>
      <c r="B21" t="s">
        <v>97</v>
      </c>
      <c r="C21">
        <v>18</v>
      </c>
      <c r="D21" t="s">
        <v>72</v>
      </c>
      <c r="E21" t="s">
        <v>73</v>
      </c>
      <c r="F21" t="s">
        <v>74</v>
      </c>
      <c r="G21" t="s">
        <v>74</v>
      </c>
      <c r="H21" t="s">
        <v>75</v>
      </c>
      <c r="I21" t="s">
        <v>98</v>
      </c>
      <c r="J21">
        <v>2</v>
      </c>
      <c r="K21">
        <v>5</v>
      </c>
      <c r="L21">
        <v>5</v>
      </c>
      <c r="M21">
        <v>5</v>
      </c>
      <c r="N21">
        <v>5</v>
      </c>
      <c r="O21" t="s">
        <v>75</v>
      </c>
      <c r="P21" t="s">
        <v>75</v>
      </c>
    </row>
    <row r="22" spans="1:16" x14ac:dyDescent="0.3">
      <c r="A22" t="s">
        <v>21</v>
      </c>
      <c r="B22" t="s">
        <v>99</v>
      </c>
      <c r="C22">
        <v>18</v>
      </c>
      <c r="D22" t="s">
        <v>72</v>
      </c>
      <c r="E22" t="s">
        <v>81</v>
      </c>
      <c r="F22" t="s">
        <v>75</v>
      </c>
      <c r="G22" t="s">
        <v>75</v>
      </c>
      <c r="H22" t="s">
        <v>75</v>
      </c>
      <c r="I22" t="s">
        <v>76</v>
      </c>
      <c r="J22">
        <v>4</v>
      </c>
      <c r="K22">
        <v>3</v>
      </c>
      <c r="L22">
        <v>4</v>
      </c>
      <c r="M22">
        <v>3</v>
      </c>
      <c r="N22">
        <v>3</v>
      </c>
      <c r="O22" t="s">
        <v>75</v>
      </c>
      <c r="P22" t="s">
        <v>74</v>
      </c>
    </row>
    <row r="23" spans="1:16" x14ac:dyDescent="0.3">
      <c r="A23" t="s">
        <v>22</v>
      </c>
      <c r="B23" t="s">
        <v>100</v>
      </c>
      <c r="C23">
        <v>19</v>
      </c>
      <c r="D23" t="s">
        <v>78</v>
      </c>
      <c r="E23" t="s">
        <v>73</v>
      </c>
      <c r="F23" t="s">
        <v>74</v>
      </c>
      <c r="G23" t="s">
        <v>74</v>
      </c>
      <c r="H23" t="s">
        <v>75</v>
      </c>
      <c r="I23" t="s">
        <v>79</v>
      </c>
      <c r="J23">
        <v>2</v>
      </c>
      <c r="K23">
        <v>3</v>
      </c>
      <c r="L23">
        <v>3</v>
      </c>
      <c r="M23">
        <v>3</v>
      </c>
      <c r="N23">
        <v>3</v>
      </c>
      <c r="O23" t="s">
        <v>75</v>
      </c>
      <c r="P23" t="s">
        <v>75</v>
      </c>
    </row>
    <row r="24" spans="1:16" x14ac:dyDescent="0.3">
      <c r="A24" t="s">
        <v>23</v>
      </c>
      <c r="B24" t="s">
        <v>101</v>
      </c>
      <c r="C24">
        <v>17</v>
      </c>
      <c r="D24" t="s">
        <v>78</v>
      </c>
      <c r="E24" t="s">
        <v>73</v>
      </c>
      <c r="F24" t="s">
        <v>74</v>
      </c>
      <c r="G24" t="s">
        <v>75</v>
      </c>
      <c r="H24" t="s">
        <v>75</v>
      </c>
      <c r="I24" t="s">
        <v>76</v>
      </c>
      <c r="J24">
        <v>3</v>
      </c>
      <c r="K24">
        <v>5</v>
      </c>
      <c r="L24">
        <v>4</v>
      </c>
      <c r="M24">
        <v>5</v>
      </c>
      <c r="N24">
        <v>4</v>
      </c>
      <c r="O24" t="s">
        <v>75</v>
      </c>
      <c r="P24" t="s">
        <v>75</v>
      </c>
    </row>
    <row r="25" spans="1:16" x14ac:dyDescent="0.3">
      <c r="A25" t="s">
        <v>24</v>
      </c>
      <c r="B25" t="s">
        <v>102</v>
      </c>
      <c r="C25">
        <v>18</v>
      </c>
      <c r="D25" t="s">
        <v>72</v>
      </c>
      <c r="E25" t="s">
        <v>73</v>
      </c>
      <c r="F25" t="s">
        <v>75</v>
      </c>
      <c r="G25" t="s">
        <v>75</v>
      </c>
      <c r="H25" t="s">
        <v>75</v>
      </c>
      <c r="I25" t="s">
        <v>79</v>
      </c>
      <c r="J25">
        <v>4</v>
      </c>
      <c r="K25">
        <v>3</v>
      </c>
      <c r="L25">
        <v>5</v>
      </c>
      <c r="M25">
        <v>1</v>
      </c>
      <c r="N25">
        <v>3</v>
      </c>
      <c r="O25" t="s">
        <v>74</v>
      </c>
      <c r="P25" t="s">
        <v>74</v>
      </c>
    </row>
    <row r="26" spans="1:16" x14ac:dyDescent="0.3">
      <c r="A26" t="s">
        <v>25</v>
      </c>
      <c r="B26" t="s">
        <v>103</v>
      </c>
      <c r="C26">
        <v>20</v>
      </c>
      <c r="D26" t="s">
        <v>72</v>
      </c>
      <c r="E26" t="s">
        <v>73</v>
      </c>
      <c r="F26" t="s">
        <v>75</v>
      </c>
      <c r="G26" t="s">
        <v>75</v>
      </c>
      <c r="H26" t="s">
        <v>75</v>
      </c>
      <c r="I26" t="s">
        <v>79</v>
      </c>
      <c r="J26">
        <v>2</v>
      </c>
      <c r="K26">
        <v>4</v>
      </c>
      <c r="L26">
        <v>5</v>
      </c>
      <c r="M26">
        <v>5</v>
      </c>
      <c r="N26">
        <v>5</v>
      </c>
      <c r="O26" t="s">
        <v>74</v>
      </c>
    </row>
    <row r="27" spans="1:16" x14ac:dyDescent="0.3">
      <c r="A27" t="s">
        <v>26</v>
      </c>
      <c r="B27" t="s">
        <v>104</v>
      </c>
      <c r="C27">
        <v>18</v>
      </c>
      <c r="D27" t="s">
        <v>72</v>
      </c>
      <c r="E27" t="s">
        <v>73</v>
      </c>
      <c r="F27" t="s">
        <v>74</v>
      </c>
      <c r="G27" t="s">
        <v>75</v>
      </c>
      <c r="H27" t="s">
        <v>75</v>
      </c>
      <c r="I27" t="s">
        <v>76</v>
      </c>
      <c r="J27">
        <v>3</v>
      </c>
      <c r="K27">
        <v>4</v>
      </c>
      <c r="L27">
        <v>5</v>
      </c>
      <c r="M27">
        <v>5</v>
      </c>
      <c r="N27">
        <v>5</v>
      </c>
      <c r="O27" t="s">
        <v>75</v>
      </c>
      <c r="P27" t="s">
        <v>75</v>
      </c>
    </row>
    <row r="28" spans="1:16" x14ac:dyDescent="0.3">
      <c r="A28" t="s">
        <v>27</v>
      </c>
      <c r="C28">
        <v>19</v>
      </c>
      <c r="D28" t="s">
        <v>78</v>
      </c>
      <c r="E28" t="s">
        <v>73</v>
      </c>
      <c r="F28" t="s">
        <v>74</v>
      </c>
      <c r="G28" t="s">
        <v>75</v>
      </c>
      <c r="H28" t="s">
        <v>75</v>
      </c>
      <c r="I28" t="s">
        <v>76</v>
      </c>
      <c r="J28">
        <v>4</v>
      </c>
      <c r="K28">
        <v>2</v>
      </c>
      <c r="L28">
        <v>3</v>
      </c>
      <c r="M28">
        <v>1</v>
      </c>
      <c r="N28">
        <v>4</v>
      </c>
      <c r="O28" t="s">
        <v>74</v>
      </c>
      <c r="P28" t="s">
        <v>74</v>
      </c>
    </row>
    <row r="29" spans="1:16" x14ac:dyDescent="0.3">
      <c r="A29" t="s">
        <v>28</v>
      </c>
      <c r="B29" t="s">
        <v>105</v>
      </c>
      <c r="C29">
        <v>19</v>
      </c>
      <c r="D29" t="s">
        <v>78</v>
      </c>
      <c r="E29" t="s">
        <v>81</v>
      </c>
      <c r="F29" t="s">
        <v>74</v>
      </c>
      <c r="G29" t="s">
        <v>75</v>
      </c>
      <c r="H29" t="s">
        <v>75</v>
      </c>
      <c r="I29" t="s">
        <v>98</v>
      </c>
      <c r="J29">
        <v>2</v>
      </c>
      <c r="K29">
        <v>5</v>
      </c>
      <c r="L29">
        <v>5</v>
      </c>
      <c r="M29">
        <v>4</v>
      </c>
      <c r="N29">
        <v>3</v>
      </c>
      <c r="O29" t="s">
        <v>75</v>
      </c>
      <c r="P29" t="s">
        <v>74</v>
      </c>
    </row>
    <row r="30" spans="1:16" x14ac:dyDescent="0.3">
      <c r="A30" t="s">
        <v>29</v>
      </c>
      <c r="B30" t="s">
        <v>106</v>
      </c>
      <c r="C30">
        <v>18</v>
      </c>
      <c r="D30" t="s">
        <v>72</v>
      </c>
      <c r="E30" t="s">
        <v>81</v>
      </c>
      <c r="F30" t="s">
        <v>74</v>
      </c>
      <c r="G30" t="s">
        <v>75</v>
      </c>
      <c r="H30" t="s">
        <v>75</v>
      </c>
      <c r="I30" t="s">
        <v>79</v>
      </c>
      <c r="J30">
        <v>5</v>
      </c>
      <c r="K30">
        <v>2</v>
      </c>
      <c r="L30">
        <v>5</v>
      </c>
      <c r="M30">
        <v>2</v>
      </c>
      <c r="N30">
        <v>3</v>
      </c>
      <c r="O30" t="s">
        <v>75</v>
      </c>
      <c r="P30" t="s">
        <v>75</v>
      </c>
    </row>
    <row r="31" spans="1:16" x14ac:dyDescent="0.3">
      <c r="A31" t="s">
        <v>30</v>
      </c>
      <c r="B31" t="s">
        <v>107</v>
      </c>
      <c r="C31">
        <v>18</v>
      </c>
      <c r="D31" t="s">
        <v>72</v>
      </c>
      <c r="E31" t="s">
        <v>73</v>
      </c>
      <c r="F31" t="s">
        <v>75</v>
      </c>
      <c r="G31" t="s">
        <v>74</v>
      </c>
      <c r="H31" t="s">
        <v>75</v>
      </c>
      <c r="I31" t="s">
        <v>98</v>
      </c>
      <c r="J31">
        <v>3</v>
      </c>
      <c r="K31">
        <v>3</v>
      </c>
      <c r="L31">
        <v>3</v>
      </c>
      <c r="M31">
        <v>4</v>
      </c>
      <c r="N31">
        <v>4</v>
      </c>
      <c r="O31" t="s">
        <v>74</v>
      </c>
      <c r="P31" t="s">
        <v>74</v>
      </c>
    </row>
    <row r="32" spans="1:16" x14ac:dyDescent="0.3">
      <c r="A32" t="s">
        <v>31</v>
      </c>
      <c r="B32" t="s">
        <v>108</v>
      </c>
      <c r="C32">
        <v>19</v>
      </c>
      <c r="D32" t="s">
        <v>72</v>
      </c>
      <c r="E32" t="s">
        <v>73</v>
      </c>
      <c r="F32" t="s">
        <v>75</v>
      </c>
      <c r="G32" t="s">
        <v>75</v>
      </c>
      <c r="H32" t="s">
        <v>75</v>
      </c>
      <c r="I32" t="s">
        <v>76</v>
      </c>
      <c r="J32">
        <v>3</v>
      </c>
      <c r="K32">
        <v>5</v>
      </c>
      <c r="L32">
        <v>5</v>
      </c>
      <c r="M32">
        <v>2</v>
      </c>
      <c r="N32">
        <v>4</v>
      </c>
      <c r="O32" t="s">
        <v>74</v>
      </c>
      <c r="P32" t="s">
        <v>74</v>
      </c>
    </row>
    <row r="33" spans="1:16" x14ac:dyDescent="0.3">
      <c r="A33" t="s">
        <v>32</v>
      </c>
      <c r="B33" t="s">
        <v>109</v>
      </c>
      <c r="C33">
        <v>18</v>
      </c>
      <c r="D33" t="s">
        <v>78</v>
      </c>
      <c r="E33" t="s">
        <v>73</v>
      </c>
      <c r="F33" t="s">
        <v>75</v>
      </c>
      <c r="G33" t="s">
        <v>74</v>
      </c>
      <c r="H33" t="s">
        <v>75</v>
      </c>
      <c r="I33" t="s">
        <v>76</v>
      </c>
      <c r="J33">
        <v>1</v>
      </c>
      <c r="K33">
        <v>5</v>
      </c>
      <c r="L33">
        <v>5</v>
      </c>
      <c r="M33">
        <v>5</v>
      </c>
      <c r="N33">
        <v>4</v>
      </c>
      <c r="O33" t="s">
        <v>75</v>
      </c>
      <c r="P33" t="s">
        <v>75</v>
      </c>
    </row>
    <row r="34" spans="1:16" x14ac:dyDescent="0.3">
      <c r="A34" t="s">
        <v>33</v>
      </c>
      <c r="B34" t="s">
        <v>110</v>
      </c>
      <c r="C34">
        <v>18</v>
      </c>
      <c r="D34" t="s">
        <v>78</v>
      </c>
      <c r="E34" t="s">
        <v>73</v>
      </c>
      <c r="F34" t="s">
        <v>75</v>
      </c>
      <c r="G34" t="s">
        <v>74</v>
      </c>
      <c r="H34" t="s">
        <v>75</v>
      </c>
      <c r="I34" t="s">
        <v>76</v>
      </c>
      <c r="J34">
        <v>1</v>
      </c>
      <c r="K34">
        <v>5</v>
      </c>
      <c r="L34">
        <v>5</v>
      </c>
      <c r="M34">
        <v>5</v>
      </c>
      <c r="N34">
        <v>4</v>
      </c>
      <c r="O34" t="s">
        <v>75</v>
      </c>
      <c r="P34" t="s">
        <v>75</v>
      </c>
    </row>
    <row r="35" spans="1:16" x14ac:dyDescent="0.3">
      <c r="A35" t="s">
        <v>34</v>
      </c>
      <c r="B35" t="s">
        <v>111</v>
      </c>
      <c r="C35">
        <v>19</v>
      </c>
      <c r="D35" t="s">
        <v>72</v>
      </c>
      <c r="E35" t="s">
        <v>73</v>
      </c>
      <c r="F35" t="s">
        <v>75</v>
      </c>
      <c r="G35" t="s">
        <v>75</v>
      </c>
      <c r="H35" t="s">
        <v>75</v>
      </c>
      <c r="I35" t="s">
        <v>79</v>
      </c>
      <c r="J35">
        <v>2</v>
      </c>
      <c r="K35">
        <v>2</v>
      </c>
      <c r="L35">
        <v>2</v>
      </c>
      <c r="M35">
        <v>2</v>
      </c>
      <c r="N35">
        <v>2</v>
      </c>
      <c r="O35" t="s">
        <v>75</v>
      </c>
      <c r="P35" t="s">
        <v>74</v>
      </c>
    </row>
    <row r="36" spans="1:16" x14ac:dyDescent="0.3">
      <c r="A36" t="s">
        <v>35</v>
      </c>
      <c r="B36" t="s">
        <v>112</v>
      </c>
      <c r="C36">
        <v>17</v>
      </c>
      <c r="D36" t="s">
        <v>72</v>
      </c>
      <c r="E36" t="s">
        <v>73</v>
      </c>
      <c r="F36" t="s">
        <v>74</v>
      </c>
      <c r="G36" t="s">
        <v>74</v>
      </c>
      <c r="H36" t="s">
        <v>75</v>
      </c>
      <c r="I36" t="s">
        <v>76</v>
      </c>
      <c r="J36">
        <v>4</v>
      </c>
      <c r="K36">
        <v>4</v>
      </c>
      <c r="L36">
        <v>4</v>
      </c>
      <c r="M36">
        <v>4</v>
      </c>
      <c r="N36">
        <v>4</v>
      </c>
      <c r="O36" t="s">
        <v>75</v>
      </c>
      <c r="P36" t="s">
        <v>74</v>
      </c>
    </row>
    <row r="37" spans="1:16" x14ac:dyDescent="0.3">
      <c r="A37" t="s">
        <v>36</v>
      </c>
      <c r="B37" t="s">
        <v>113</v>
      </c>
      <c r="C37">
        <v>19</v>
      </c>
      <c r="D37" t="s">
        <v>78</v>
      </c>
      <c r="E37" t="s">
        <v>73</v>
      </c>
      <c r="F37" t="s">
        <v>75</v>
      </c>
      <c r="G37" t="s">
        <v>74</v>
      </c>
      <c r="H37" t="s">
        <v>75</v>
      </c>
      <c r="I37" t="s">
        <v>98</v>
      </c>
      <c r="J37">
        <v>4</v>
      </c>
      <c r="K37">
        <v>3</v>
      </c>
      <c r="L37">
        <v>4</v>
      </c>
      <c r="M37">
        <v>3</v>
      </c>
      <c r="N37">
        <v>2</v>
      </c>
      <c r="O37" t="s">
        <v>75</v>
      </c>
      <c r="P37" t="s">
        <v>75</v>
      </c>
    </row>
    <row r="38" spans="1:16" x14ac:dyDescent="0.3">
      <c r="A38" t="s">
        <v>37</v>
      </c>
      <c r="B38" t="s">
        <v>114</v>
      </c>
      <c r="C38">
        <v>18</v>
      </c>
      <c r="D38" t="s">
        <v>72</v>
      </c>
      <c r="E38" t="s">
        <v>73</v>
      </c>
      <c r="F38" t="s">
        <v>75</v>
      </c>
      <c r="G38" t="s">
        <v>75</v>
      </c>
      <c r="H38" t="s">
        <v>75</v>
      </c>
      <c r="I38" t="s">
        <v>76</v>
      </c>
      <c r="J38">
        <v>5</v>
      </c>
      <c r="K38">
        <v>1</v>
      </c>
      <c r="L38">
        <v>4</v>
      </c>
      <c r="M38">
        <v>1</v>
      </c>
      <c r="N38">
        <v>4</v>
      </c>
      <c r="O38" t="s">
        <v>74</v>
      </c>
      <c r="P38" t="s">
        <v>75</v>
      </c>
    </row>
    <row r="39" spans="1:16" x14ac:dyDescent="0.3">
      <c r="A39" t="s">
        <v>38</v>
      </c>
      <c r="B39" t="s">
        <v>115</v>
      </c>
      <c r="C39">
        <v>20</v>
      </c>
      <c r="D39" t="s">
        <v>72</v>
      </c>
      <c r="E39" t="s">
        <v>73</v>
      </c>
      <c r="F39" t="s">
        <v>74</v>
      </c>
      <c r="G39" t="s">
        <v>74</v>
      </c>
      <c r="H39" t="s">
        <v>75</v>
      </c>
      <c r="I39" t="s">
        <v>76</v>
      </c>
      <c r="J39">
        <v>1</v>
      </c>
      <c r="K39">
        <v>4</v>
      </c>
      <c r="L39">
        <v>4</v>
      </c>
      <c r="M39">
        <v>2</v>
      </c>
      <c r="N39">
        <v>2</v>
      </c>
      <c r="O39" t="s">
        <v>75</v>
      </c>
      <c r="P39" t="s">
        <v>74</v>
      </c>
    </row>
    <row r="40" spans="1:16" x14ac:dyDescent="0.3">
      <c r="A40" t="s">
        <v>39</v>
      </c>
      <c r="B40" t="s">
        <v>116</v>
      </c>
      <c r="C40">
        <v>19</v>
      </c>
      <c r="D40" t="s">
        <v>72</v>
      </c>
      <c r="E40" t="s">
        <v>73</v>
      </c>
      <c r="F40" t="s">
        <v>74</v>
      </c>
      <c r="G40" t="s">
        <v>75</v>
      </c>
      <c r="H40" t="s">
        <v>75</v>
      </c>
      <c r="I40" t="s">
        <v>76</v>
      </c>
      <c r="J40">
        <v>3</v>
      </c>
      <c r="K40">
        <v>2</v>
      </c>
      <c r="L40">
        <v>5</v>
      </c>
      <c r="M40">
        <v>2</v>
      </c>
      <c r="N40">
        <v>4</v>
      </c>
      <c r="O40" t="s">
        <v>74</v>
      </c>
      <c r="P40" t="s">
        <v>74</v>
      </c>
    </row>
    <row r="41" spans="1:16" x14ac:dyDescent="0.3">
      <c r="A41" t="s">
        <v>40</v>
      </c>
      <c r="B41" t="s">
        <v>117</v>
      </c>
      <c r="C41">
        <v>18</v>
      </c>
      <c r="D41" t="s">
        <v>72</v>
      </c>
      <c r="E41" t="s">
        <v>73</v>
      </c>
      <c r="F41" t="s">
        <v>75</v>
      </c>
      <c r="G41" t="s">
        <v>75</v>
      </c>
      <c r="H41" t="s">
        <v>75</v>
      </c>
      <c r="I41" t="s">
        <v>79</v>
      </c>
      <c r="J41">
        <v>5</v>
      </c>
      <c r="K41">
        <v>3</v>
      </c>
      <c r="L41">
        <v>2</v>
      </c>
      <c r="M41">
        <v>2</v>
      </c>
      <c r="N41">
        <v>5</v>
      </c>
      <c r="O41" t="s">
        <v>75</v>
      </c>
      <c r="P41" t="s">
        <v>74</v>
      </c>
    </row>
    <row r="42" spans="1:16" x14ac:dyDescent="0.3">
      <c r="A42" t="s">
        <v>41</v>
      </c>
      <c r="B42" t="s">
        <v>118</v>
      </c>
      <c r="C42">
        <v>19</v>
      </c>
      <c r="D42" t="s">
        <v>72</v>
      </c>
      <c r="E42" t="s">
        <v>81</v>
      </c>
      <c r="F42" t="s">
        <v>74</v>
      </c>
      <c r="G42" t="s">
        <v>75</v>
      </c>
      <c r="H42" t="s">
        <v>75</v>
      </c>
      <c r="I42" t="s">
        <v>76</v>
      </c>
      <c r="J42">
        <v>5</v>
      </c>
      <c r="K42">
        <v>1</v>
      </c>
      <c r="L42">
        <v>2</v>
      </c>
      <c r="M42">
        <v>1</v>
      </c>
      <c r="N42">
        <v>3</v>
      </c>
      <c r="O42" t="s">
        <v>74</v>
      </c>
      <c r="P42" t="s">
        <v>75</v>
      </c>
    </row>
    <row r="43" spans="1:16" x14ac:dyDescent="0.3">
      <c r="A43" t="s">
        <v>42</v>
      </c>
      <c r="B43" t="s">
        <v>119</v>
      </c>
      <c r="C43">
        <v>19</v>
      </c>
      <c r="D43" t="s">
        <v>78</v>
      </c>
      <c r="E43" t="s">
        <v>73</v>
      </c>
      <c r="F43" t="s">
        <v>74</v>
      </c>
      <c r="G43" t="s">
        <v>74</v>
      </c>
      <c r="H43" t="s">
        <v>75</v>
      </c>
      <c r="I43" t="s">
        <v>76</v>
      </c>
      <c r="J43">
        <v>3</v>
      </c>
      <c r="K43">
        <v>3</v>
      </c>
      <c r="L43">
        <v>4</v>
      </c>
      <c r="M43">
        <v>5</v>
      </c>
      <c r="N43">
        <v>4</v>
      </c>
      <c r="O43" t="s">
        <v>75</v>
      </c>
      <c r="P43" t="s">
        <v>75</v>
      </c>
    </row>
    <row r="44" spans="1:16" x14ac:dyDescent="0.3">
      <c r="A44" t="s">
        <v>43</v>
      </c>
      <c r="B44" t="s">
        <v>120</v>
      </c>
      <c r="C44">
        <v>19</v>
      </c>
      <c r="D44" t="s">
        <v>78</v>
      </c>
      <c r="E44" t="s">
        <v>81</v>
      </c>
      <c r="F44" t="s">
        <v>74</v>
      </c>
      <c r="G44" t="s">
        <v>75</v>
      </c>
      <c r="H44" t="s">
        <v>75</v>
      </c>
      <c r="I44" t="s">
        <v>79</v>
      </c>
      <c r="J44">
        <v>5</v>
      </c>
      <c r="K44">
        <v>2</v>
      </c>
      <c r="L44">
        <v>5</v>
      </c>
      <c r="M44">
        <v>1</v>
      </c>
      <c r="N44">
        <v>1</v>
      </c>
      <c r="O44" t="s">
        <v>74</v>
      </c>
      <c r="P44" t="s">
        <v>74</v>
      </c>
    </row>
    <row r="45" spans="1:16" x14ac:dyDescent="0.3">
      <c r="A45" t="s">
        <v>44</v>
      </c>
      <c r="B45" t="s">
        <v>121</v>
      </c>
      <c r="C45">
        <v>18</v>
      </c>
      <c r="D45" t="s">
        <v>78</v>
      </c>
      <c r="E45" t="s">
        <v>73</v>
      </c>
      <c r="F45" t="s">
        <v>75</v>
      </c>
      <c r="G45" t="s">
        <v>75</v>
      </c>
      <c r="H45" t="s">
        <v>75</v>
      </c>
      <c r="I45" t="s">
        <v>79</v>
      </c>
      <c r="J45">
        <v>5</v>
      </c>
      <c r="K45">
        <v>5</v>
      </c>
      <c r="L45">
        <v>5</v>
      </c>
      <c r="M45">
        <v>3</v>
      </c>
      <c r="N45">
        <v>5</v>
      </c>
      <c r="O45" t="s">
        <v>75</v>
      </c>
      <c r="P45" t="s">
        <v>75</v>
      </c>
    </row>
    <row r="46" spans="1:16" x14ac:dyDescent="0.3">
      <c r="A46" t="s">
        <v>45</v>
      </c>
      <c r="B46" t="s">
        <v>122</v>
      </c>
      <c r="C46">
        <v>19</v>
      </c>
      <c r="D46" t="s">
        <v>72</v>
      </c>
      <c r="E46" t="s">
        <v>73</v>
      </c>
      <c r="F46" t="s">
        <v>74</v>
      </c>
      <c r="G46" t="s">
        <v>75</v>
      </c>
      <c r="H46" t="s">
        <v>75</v>
      </c>
      <c r="I46" t="s">
        <v>79</v>
      </c>
      <c r="J46">
        <v>1</v>
      </c>
      <c r="K46">
        <v>5</v>
      </c>
      <c r="L46">
        <v>5</v>
      </c>
      <c r="M46">
        <v>3</v>
      </c>
      <c r="N46">
        <v>4</v>
      </c>
      <c r="O46" t="s">
        <v>75</v>
      </c>
      <c r="P46" t="s">
        <v>75</v>
      </c>
    </row>
    <row r="47" spans="1:16" x14ac:dyDescent="0.3">
      <c r="A47" t="s">
        <v>46</v>
      </c>
      <c r="B47" t="s">
        <v>123</v>
      </c>
      <c r="C47">
        <v>19</v>
      </c>
      <c r="D47" t="s">
        <v>72</v>
      </c>
      <c r="E47" t="s">
        <v>73</v>
      </c>
      <c r="F47" t="s">
        <v>74</v>
      </c>
      <c r="G47" t="s">
        <v>75</v>
      </c>
      <c r="H47" t="s">
        <v>75</v>
      </c>
      <c r="I47" t="s">
        <v>76</v>
      </c>
      <c r="J47">
        <v>5</v>
      </c>
      <c r="K47">
        <v>3</v>
      </c>
      <c r="L47">
        <v>4</v>
      </c>
      <c r="M47">
        <v>4</v>
      </c>
      <c r="N47">
        <v>5</v>
      </c>
      <c r="O47" t="s">
        <v>75</v>
      </c>
      <c r="P47" t="s">
        <v>74</v>
      </c>
    </row>
    <row r="48" spans="1:16" x14ac:dyDescent="0.3">
      <c r="A48" t="s">
        <v>47</v>
      </c>
      <c r="B48" t="s">
        <v>124</v>
      </c>
      <c r="C48">
        <v>18</v>
      </c>
      <c r="D48" t="s">
        <v>72</v>
      </c>
      <c r="E48" t="s">
        <v>73</v>
      </c>
      <c r="F48" t="s">
        <v>74</v>
      </c>
      <c r="G48" t="s">
        <v>75</v>
      </c>
      <c r="H48" t="s">
        <v>75</v>
      </c>
      <c r="I48" t="s">
        <v>79</v>
      </c>
      <c r="J48">
        <v>2</v>
      </c>
      <c r="K48">
        <v>4</v>
      </c>
      <c r="L48">
        <v>4</v>
      </c>
      <c r="M48">
        <v>5</v>
      </c>
      <c r="N48">
        <v>3</v>
      </c>
      <c r="O48" t="s">
        <v>75</v>
      </c>
      <c r="P48" t="s">
        <v>75</v>
      </c>
    </row>
    <row r="49" spans="1:16" x14ac:dyDescent="0.3">
      <c r="A49" t="s">
        <v>48</v>
      </c>
      <c r="B49" t="s">
        <v>125</v>
      </c>
      <c r="C49">
        <v>18</v>
      </c>
      <c r="D49" t="s">
        <v>72</v>
      </c>
      <c r="E49" t="s">
        <v>73</v>
      </c>
      <c r="F49" t="s">
        <v>74</v>
      </c>
      <c r="G49" t="s">
        <v>75</v>
      </c>
      <c r="H49" t="s">
        <v>75</v>
      </c>
      <c r="I49" t="s">
        <v>79</v>
      </c>
      <c r="J49">
        <v>2</v>
      </c>
      <c r="K49">
        <v>3</v>
      </c>
      <c r="L49">
        <v>5</v>
      </c>
      <c r="M49">
        <v>3</v>
      </c>
      <c r="N49">
        <v>3</v>
      </c>
      <c r="O49" t="s">
        <v>75</v>
      </c>
      <c r="P49" t="s">
        <v>75</v>
      </c>
    </row>
    <row r="50" spans="1:16" x14ac:dyDescent="0.3">
      <c r="A50" t="s">
        <v>49</v>
      </c>
      <c r="B50" t="s">
        <v>126</v>
      </c>
      <c r="C50">
        <v>19</v>
      </c>
      <c r="D50" t="s">
        <v>72</v>
      </c>
      <c r="E50" t="s">
        <v>81</v>
      </c>
      <c r="F50" t="s">
        <v>74</v>
      </c>
      <c r="G50" t="s">
        <v>75</v>
      </c>
      <c r="H50" t="s">
        <v>75</v>
      </c>
      <c r="I50" t="s">
        <v>76</v>
      </c>
      <c r="J50">
        <v>3</v>
      </c>
      <c r="K50">
        <v>3</v>
      </c>
      <c r="L50">
        <v>4</v>
      </c>
      <c r="M50">
        <v>2</v>
      </c>
      <c r="N50">
        <v>3</v>
      </c>
      <c r="O50" t="s">
        <v>75</v>
      </c>
      <c r="P50" t="s">
        <v>75</v>
      </c>
    </row>
    <row r="51" spans="1:16" x14ac:dyDescent="0.3">
      <c r="A51" t="s">
        <v>50</v>
      </c>
      <c r="C51">
        <v>21</v>
      </c>
      <c r="D51" t="s">
        <v>72</v>
      </c>
      <c r="E51" t="s">
        <v>73</v>
      </c>
      <c r="F51" t="s">
        <v>74</v>
      </c>
      <c r="G51" t="s">
        <v>75</v>
      </c>
      <c r="H51" t="s">
        <v>75</v>
      </c>
      <c r="I51" t="s">
        <v>79</v>
      </c>
      <c r="J51">
        <v>2</v>
      </c>
      <c r="K51">
        <v>4</v>
      </c>
      <c r="L51">
        <v>5</v>
      </c>
      <c r="M51">
        <v>2</v>
      </c>
      <c r="N51">
        <v>4</v>
      </c>
      <c r="O51" t="s">
        <v>75</v>
      </c>
      <c r="P51" t="s">
        <v>75</v>
      </c>
    </row>
    <row r="52" spans="1:16" x14ac:dyDescent="0.3">
      <c r="A52" t="s">
        <v>51</v>
      </c>
      <c r="B52" t="s">
        <v>127</v>
      </c>
      <c r="C52">
        <v>18</v>
      </c>
      <c r="D52" t="s">
        <v>78</v>
      </c>
      <c r="E52" t="s">
        <v>81</v>
      </c>
      <c r="F52" t="s">
        <v>74</v>
      </c>
      <c r="G52" t="s">
        <v>75</v>
      </c>
      <c r="H52" t="s">
        <v>75</v>
      </c>
      <c r="I52" t="s">
        <v>76</v>
      </c>
      <c r="J52">
        <v>2</v>
      </c>
      <c r="K52">
        <v>4</v>
      </c>
      <c r="L52">
        <v>5</v>
      </c>
      <c r="M52">
        <v>5</v>
      </c>
      <c r="N52">
        <v>5</v>
      </c>
      <c r="O52" t="s">
        <v>75</v>
      </c>
      <c r="P52" t="s">
        <v>75</v>
      </c>
    </row>
    <row r="53" spans="1:16" x14ac:dyDescent="0.3">
      <c r="A53" t="s">
        <v>52</v>
      </c>
      <c r="B53" t="s">
        <v>128</v>
      </c>
      <c r="C53">
        <v>19</v>
      </c>
      <c r="D53" t="s">
        <v>78</v>
      </c>
      <c r="E53" t="s">
        <v>129</v>
      </c>
      <c r="F53" t="s">
        <v>75</v>
      </c>
      <c r="G53" t="s">
        <v>75</v>
      </c>
      <c r="H53" t="s">
        <v>75</v>
      </c>
      <c r="I53" t="s">
        <v>76</v>
      </c>
      <c r="J53">
        <v>1</v>
      </c>
      <c r="K53">
        <v>5</v>
      </c>
      <c r="L53">
        <v>5</v>
      </c>
      <c r="M53">
        <v>5</v>
      </c>
      <c r="N53">
        <v>5</v>
      </c>
      <c r="O53" t="s">
        <v>75</v>
      </c>
      <c r="P53" t="s">
        <v>75</v>
      </c>
    </row>
    <row r="54" spans="1:16" x14ac:dyDescent="0.3">
      <c r="A54" t="s">
        <v>53</v>
      </c>
      <c r="B54" t="s">
        <v>130</v>
      </c>
      <c r="C54">
        <v>19</v>
      </c>
      <c r="D54" t="s">
        <v>78</v>
      </c>
      <c r="E54" t="s">
        <v>81</v>
      </c>
      <c r="F54" t="s">
        <v>74</v>
      </c>
      <c r="G54" t="s">
        <v>75</v>
      </c>
      <c r="H54" t="s">
        <v>75</v>
      </c>
      <c r="I54" t="s">
        <v>79</v>
      </c>
      <c r="J54">
        <v>2</v>
      </c>
      <c r="K54">
        <v>5</v>
      </c>
      <c r="L54">
        <v>5</v>
      </c>
      <c r="M54">
        <v>5</v>
      </c>
      <c r="N54">
        <v>5</v>
      </c>
      <c r="O54" t="s">
        <v>75</v>
      </c>
      <c r="P54" t="s">
        <v>75</v>
      </c>
    </row>
    <row r="55" spans="1:16" x14ac:dyDescent="0.3">
      <c r="A55" t="s">
        <v>54</v>
      </c>
      <c r="B55" t="s">
        <v>131</v>
      </c>
      <c r="C55">
        <v>19</v>
      </c>
      <c r="D55" t="s">
        <v>78</v>
      </c>
      <c r="E55" t="s">
        <v>81</v>
      </c>
      <c r="F55" t="s">
        <v>74</v>
      </c>
      <c r="G55" t="s">
        <v>75</v>
      </c>
      <c r="H55" t="s">
        <v>75</v>
      </c>
      <c r="I55" t="s">
        <v>79</v>
      </c>
      <c r="J55">
        <v>1</v>
      </c>
      <c r="K55">
        <v>5</v>
      </c>
      <c r="L55">
        <v>5</v>
      </c>
      <c r="M55">
        <v>5</v>
      </c>
      <c r="N55">
        <v>5</v>
      </c>
      <c r="O55" t="s">
        <v>74</v>
      </c>
      <c r="P55" t="s">
        <v>75</v>
      </c>
    </row>
    <row r="56" spans="1:16" x14ac:dyDescent="0.3">
      <c r="A56" t="s">
        <v>55</v>
      </c>
      <c r="B56" t="s">
        <v>132</v>
      </c>
      <c r="C56">
        <v>21</v>
      </c>
      <c r="D56" t="s">
        <v>78</v>
      </c>
      <c r="E56" t="s">
        <v>129</v>
      </c>
      <c r="F56" t="s">
        <v>75</v>
      </c>
      <c r="G56" t="s">
        <v>75</v>
      </c>
      <c r="H56" t="s">
        <v>75</v>
      </c>
      <c r="I56" t="s">
        <v>76</v>
      </c>
      <c r="J56">
        <v>2</v>
      </c>
      <c r="K56">
        <v>4</v>
      </c>
      <c r="L56">
        <v>4</v>
      </c>
      <c r="M56">
        <v>4</v>
      </c>
      <c r="N56">
        <v>4</v>
      </c>
      <c r="O56" t="s">
        <v>75</v>
      </c>
      <c r="P5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hukuman wise</vt:lpstr>
      <vt:lpstr>tau hukum</vt:lpstr>
      <vt:lpstr>sikap banyak independen</vt:lpstr>
      <vt:lpstr>Raw data numerical</vt:lpstr>
      <vt:lpstr>Pengetahuan</vt:lpstr>
      <vt:lpstr>kepemilikan</vt:lpstr>
      <vt:lpstr>Akses pembayaran</vt:lpstr>
      <vt:lpstr>Penghasilan</vt:lpstr>
      <vt:lpstr>Gender vs dependen</vt:lpstr>
      <vt:lpstr>Umur</vt:lpstr>
      <vt:lpstr>Pembajakan perangkat lunak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ZORAYA</dc:creator>
  <cp:lastModifiedBy>Theresia T T Zoraya</cp:lastModifiedBy>
  <dcterms:created xsi:type="dcterms:W3CDTF">2023-10-02T06:44:37Z</dcterms:created>
  <dcterms:modified xsi:type="dcterms:W3CDTF">2023-10-02T06:44:37Z</dcterms:modified>
</cp:coreProperties>
</file>